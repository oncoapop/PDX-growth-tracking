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dyap/Documents/Tasks workflow/PDX-growth-tracking/examples/"/>
    </mc:Choice>
  </mc:AlternateContent>
  <xr:revisionPtr revIDLastSave="0" documentId="13_ncr:1_{2614DD44-ADDC-7E45-A084-8100EE712EB7}" xr6:coauthVersionLast="36" xr6:coauthVersionMax="36" xr10:uidLastSave="{00000000-0000-0000-0000-000000000000}"/>
  <bookViews>
    <workbookView xWindow="0" yWindow="500" windowWidth="40640" windowHeight="19660" activeTab="1" xr2:uid="{00000000-000D-0000-FFFF-FFFF00000000}"/>
  </bookViews>
  <sheets>
    <sheet name="Project A" sheetId="11" r:id="rId1"/>
    <sheet name="Project B" sheetId="21" r:id="rId2"/>
  </sheets>
  <calcPr calcId="181029"/>
</workbook>
</file>

<file path=xl/calcChain.xml><?xml version="1.0" encoding="utf-8"?>
<calcChain xmlns="http://schemas.openxmlformats.org/spreadsheetml/2006/main">
  <c r="E29" i="11" l="1"/>
  <c r="E22" i="11" l="1"/>
  <c r="E22" i="21" l="1"/>
  <c r="G22" i="21" s="1"/>
  <c r="E36" i="11" l="1"/>
  <c r="E35" i="11"/>
  <c r="E34" i="11"/>
  <c r="E33" i="11"/>
  <c r="E32" i="11"/>
  <c r="E31" i="11"/>
  <c r="E30" i="11"/>
  <c r="E27" i="11"/>
  <c r="E26" i="11"/>
  <c r="E23" i="11"/>
  <c r="E25" i="11" l="1"/>
  <c r="E28" i="11" l="1"/>
  <c r="E24" i="11"/>
  <c r="G36" i="11" l="1"/>
  <c r="G35" i="11"/>
  <c r="E17" i="21" l="1"/>
  <c r="G34" i="11" l="1"/>
  <c r="G33" i="11"/>
  <c r="G32" i="11"/>
  <c r="G31" i="11"/>
  <c r="G30" i="11"/>
  <c r="G29" i="11"/>
  <c r="G23" i="11" l="1"/>
  <c r="G24" i="11"/>
  <c r="G28" i="11"/>
  <c r="G27" i="11"/>
  <c r="G26" i="11"/>
  <c r="G25" i="11"/>
  <c r="E20" i="21" l="1"/>
  <c r="E19" i="21"/>
  <c r="E15" i="21" l="1"/>
  <c r="G20" i="21" l="1"/>
  <c r="G17" i="21"/>
  <c r="G19" i="21" l="1"/>
  <c r="E11" i="21" l="1"/>
  <c r="G22" i="11" l="1"/>
  <c r="E21" i="11"/>
  <c r="G21" i="11" s="1"/>
  <c r="E20" i="11"/>
  <c r="G20" i="11" s="1"/>
  <c r="G15" i="21" l="1"/>
  <c r="E14" i="21"/>
  <c r="G14" i="21" s="1"/>
  <c r="G11" i="21" l="1"/>
</calcChain>
</file>

<file path=xl/sharedStrings.xml><?xml version="1.0" encoding="utf-8"?>
<sst xmlns="http://schemas.openxmlformats.org/spreadsheetml/2006/main" count="131" uniqueCount="64">
  <si>
    <t>Measurements</t>
  </si>
  <si>
    <t>Comments</t>
  </si>
  <si>
    <t>Mouse ID</t>
  </si>
  <si>
    <t>R</t>
  </si>
  <si>
    <t>width (mm)</t>
  </si>
  <si>
    <t>length (mm)</t>
  </si>
  <si>
    <t>L</t>
  </si>
  <si>
    <t>B</t>
  </si>
  <si>
    <t>Weight (g)</t>
  </si>
  <si>
    <t>% Tumor Weight</t>
  </si>
  <si>
    <t>Tumor Volumes &amp; % Tumor Weight</t>
  </si>
  <si>
    <t>Initial</t>
  </si>
  <si>
    <t>BAG</t>
  </si>
  <si>
    <t>App</t>
  </si>
  <si>
    <t>P</t>
  </si>
  <si>
    <t>Hy</t>
  </si>
  <si>
    <t>Clinical Score</t>
  </si>
  <si>
    <t>*Please refer to the first page for contact details.</t>
  </si>
  <si>
    <r>
      <t>Volume (mm</t>
    </r>
    <r>
      <rPr>
        <b/>
        <vertAlign val="super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>)</t>
    </r>
  </si>
  <si>
    <t>XX</t>
  </si>
  <si>
    <r>
      <t>Volume (mm</t>
    </r>
    <r>
      <rPr>
        <b/>
        <vertAlign val="superscript"/>
        <sz val="10"/>
        <rFont val="Times New Roman"/>
        <family val="1"/>
      </rPr>
      <t>3</t>
    </r>
    <r>
      <rPr>
        <b/>
        <sz val="10"/>
        <rFont val="Times New Roman"/>
        <family val="1"/>
      </rPr>
      <t>)</t>
    </r>
  </si>
  <si>
    <t>YY</t>
  </si>
  <si>
    <t xml:space="preserve"> </t>
  </si>
  <si>
    <t>O250912</t>
  </si>
  <si>
    <t>O251010</t>
  </si>
  <si>
    <t>N</t>
  </si>
  <si>
    <t xml:space="preserve">BAG=Behaviour, Activity, Gait/App=Appearance/ Hy=Hydration/P=Pain </t>
  </si>
  <si>
    <t>O260220*</t>
  </si>
  <si>
    <t>260409(1)</t>
  </si>
  <si>
    <t>260409(2)</t>
  </si>
  <si>
    <t>260410(1)</t>
  </si>
  <si>
    <t>260410(2)</t>
  </si>
  <si>
    <t>passage 7</t>
  </si>
  <si>
    <t>passage 10</t>
  </si>
  <si>
    <t>passage 5</t>
  </si>
  <si>
    <t>Approx.  Long dificult to measure borders</t>
  </si>
  <si>
    <t>O260220-1*</t>
  </si>
  <si>
    <t xml:space="preserve">separated </t>
  </si>
  <si>
    <t>Cage 260220 and O260220-1 : All tumors in these cages are very difficult to measure.</t>
  </si>
  <si>
    <t>Approx. Lateral borders</t>
  </si>
  <si>
    <t xml:space="preserve">Approx. Borders lateral very difficult to measure </t>
  </si>
  <si>
    <t>Approx. Borders Difficult to measure</t>
  </si>
  <si>
    <t xml:space="preserve">Approx . Difficult to measure? </t>
  </si>
  <si>
    <t>Approx.</t>
  </si>
  <si>
    <r>
      <t xml:space="preserve">Approx. </t>
    </r>
    <r>
      <rPr>
        <b/>
        <u/>
        <sz val="8"/>
        <rFont val="Times New Roman"/>
        <family val="1"/>
      </rPr>
      <t>Very small ? Difficult to measure ? Tumor?</t>
    </r>
  </si>
  <si>
    <t>Approx. tumor?</t>
  </si>
  <si>
    <r>
      <rPr>
        <b/>
        <u/>
        <sz val="8"/>
        <rFont val="Times New Roman"/>
        <family val="1"/>
      </rPr>
      <t>very small?</t>
    </r>
    <r>
      <rPr>
        <u/>
        <sz val="8"/>
        <rFont val="Times New Roman"/>
        <family val="1"/>
      </rPr>
      <t xml:space="preserve"> Approx. white tumor?</t>
    </r>
  </si>
  <si>
    <t xml:space="preserve">Approx. borderes  </t>
  </si>
  <si>
    <t xml:space="preserve">Approx. small borders tumor? </t>
  </si>
  <si>
    <r>
      <t>Approx. difficult to measure.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 xml:space="preserve">Long lateral </t>
    </r>
    <r>
      <rPr>
        <b/>
        <u/>
        <sz val="8"/>
        <rFont val="Times New Roman"/>
        <family val="1"/>
      </rPr>
      <t xml:space="preserve"> tumor2 10.3x8.2</t>
    </r>
    <r>
      <rPr>
        <b/>
        <u/>
        <sz val="8"/>
        <color rgb="FFFF0000"/>
        <rFont val="Times New Roman"/>
        <family val="1"/>
      </rPr>
      <t xml:space="preserve"> turning red</t>
    </r>
  </si>
  <si>
    <t>260409(3)</t>
  </si>
  <si>
    <t>Cage IDs</t>
  </si>
  <si>
    <r>
      <t xml:space="preserve"> </t>
    </r>
    <r>
      <rPr>
        <b/>
        <sz val="8"/>
        <color rgb="FF00B050"/>
        <rFont val="Times New Roman"/>
        <family val="1"/>
      </rPr>
      <t xml:space="preserve"> SAnnn</t>
    </r>
    <r>
      <rPr>
        <b/>
        <sz val="8"/>
        <color rgb="FF7030A0"/>
        <rFont val="Times New Roman"/>
        <family val="1"/>
      </rPr>
      <t xml:space="preserve"> Breast  </t>
    </r>
    <r>
      <rPr>
        <b/>
        <sz val="8"/>
        <color theme="1"/>
        <rFont val="Times New Roman"/>
        <family val="1"/>
      </rPr>
      <t xml:space="preserve">Approx.  Borders ? Tumor2   4.9x4.2 </t>
    </r>
    <r>
      <rPr>
        <b/>
        <u/>
        <sz val="8"/>
        <color theme="1"/>
        <rFont val="Times New Roman"/>
        <family val="1"/>
      </rPr>
      <t>very small</t>
    </r>
    <r>
      <rPr>
        <b/>
        <sz val="8"/>
        <color theme="1"/>
        <rFont val="Times New Roman"/>
        <family val="1"/>
      </rPr>
      <t xml:space="preserve"> </t>
    </r>
  </si>
  <si>
    <r>
      <t xml:space="preserve">Sannn </t>
    </r>
    <r>
      <rPr>
        <b/>
        <sz val="8"/>
        <color rgb="FF7030A0"/>
        <rFont val="Times New Roman"/>
        <family val="1"/>
      </rPr>
      <t xml:space="preserve">Breast  </t>
    </r>
    <r>
      <rPr>
        <u/>
        <sz val="8"/>
        <color theme="1"/>
        <rFont val="Times New Roman"/>
        <family val="1"/>
      </rPr>
      <t>tumor?</t>
    </r>
  </si>
  <si>
    <r>
      <t xml:space="preserve"> </t>
    </r>
    <r>
      <rPr>
        <b/>
        <sz val="8"/>
        <color rgb="FF00B050"/>
        <rFont val="Times New Roman"/>
        <family val="1"/>
      </rPr>
      <t xml:space="preserve"> SAnnn</t>
    </r>
    <r>
      <rPr>
        <b/>
        <sz val="8"/>
        <color rgb="FF7030A0"/>
        <rFont val="Times New Roman"/>
        <family val="1"/>
      </rPr>
      <t xml:space="preserve"> Breast long</t>
    </r>
    <r>
      <rPr>
        <b/>
        <u/>
        <sz val="8"/>
        <rFont val="Times New Roman"/>
        <family val="1"/>
      </rPr>
      <t xml:space="preserve"> Approx?</t>
    </r>
  </si>
  <si>
    <r>
      <t xml:space="preserve"> </t>
    </r>
    <r>
      <rPr>
        <b/>
        <sz val="8"/>
        <color rgb="FF00B050"/>
        <rFont val="Times New Roman"/>
        <family val="1"/>
      </rPr>
      <t xml:space="preserve"> SAnnn</t>
    </r>
    <r>
      <rPr>
        <b/>
        <sz val="8"/>
        <color rgb="FF7030A0"/>
        <rFont val="Times New Roman"/>
        <family val="1"/>
      </rPr>
      <t xml:space="preserve"> Breast</t>
    </r>
    <r>
      <rPr>
        <b/>
        <sz val="8"/>
        <color theme="1"/>
        <rFont val="Times New Roman"/>
        <family val="1"/>
      </rPr>
      <t xml:space="preserve">  Approx dificult to measure ?</t>
    </r>
  </si>
  <si>
    <r>
      <t xml:space="preserve"> </t>
    </r>
    <r>
      <rPr>
        <b/>
        <sz val="8"/>
        <color rgb="FF00B050"/>
        <rFont val="Times New Roman"/>
        <family val="1"/>
      </rPr>
      <t xml:space="preserve"> SAnnn</t>
    </r>
    <r>
      <rPr>
        <b/>
        <sz val="8"/>
        <color rgb="FF7030A0"/>
        <rFont val="Times New Roman"/>
        <family val="1"/>
      </rPr>
      <t xml:space="preserve"> Breast  </t>
    </r>
    <r>
      <rPr>
        <b/>
        <u/>
        <sz val="8"/>
        <rFont val="Times New Roman"/>
        <family val="1"/>
      </rPr>
      <t>very small tumor??</t>
    </r>
  </si>
  <si>
    <r>
      <t xml:space="preserve"> </t>
    </r>
    <r>
      <rPr>
        <b/>
        <sz val="8"/>
        <color rgb="FF00B050"/>
        <rFont val="Times New Roman"/>
        <family val="1"/>
      </rPr>
      <t xml:space="preserve"> SAnnn</t>
    </r>
    <r>
      <rPr>
        <b/>
        <sz val="8"/>
        <color rgb="FF7030A0"/>
        <rFont val="Times New Roman"/>
        <family val="1"/>
      </rPr>
      <t xml:space="preserve"> Breast Approx. </t>
    </r>
    <r>
      <rPr>
        <b/>
        <sz val="8"/>
        <rFont val="Times New Roman"/>
        <family val="1"/>
      </rPr>
      <t>very small Approx.</t>
    </r>
  </si>
  <si>
    <r>
      <rPr>
        <b/>
        <sz val="10"/>
        <color rgb="FF00B050"/>
        <rFont val="Times New Roman"/>
        <family val="1"/>
      </rPr>
      <t>SAnnn</t>
    </r>
    <r>
      <rPr>
        <b/>
        <sz val="10"/>
        <color rgb="FF7030A0"/>
        <rFont val="Times New Roman"/>
        <family val="1"/>
      </rPr>
      <t>Ovarian</t>
    </r>
    <r>
      <rPr>
        <b/>
        <sz val="10"/>
        <rFont val="Times New Roman"/>
        <family val="1"/>
      </rPr>
      <t xml:space="preserve"> Approx. small tumor?? </t>
    </r>
  </si>
  <si>
    <r>
      <rPr>
        <b/>
        <sz val="10"/>
        <color rgb="FF00B050"/>
        <rFont val="Times New Roman"/>
        <family val="1"/>
      </rPr>
      <t>SAnnn</t>
    </r>
    <r>
      <rPr>
        <b/>
        <sz val="10"/>
        <color rgb="FF7030A0"/>
        <rFont val="Times New Roman"/>
        <family val="1"/>
      </rPr>
      <t>Breast</t>
    </r>
    <r>
      <rPr>
        <b/>
        <sz val="10"/>
        <rFont val="Times New Roman"/>
        <family val="1"/>
      </rPr>
      <t xml:space="preserve">; </t>
    </r>
    <r>
      <rPr>
        <sz val="10"/>
        <rFont val="Times New Roman"/>
        <family val="1"/>
      </rPr>
      <t xml:space="preserve"> </t>
    </r>
    <r>
      <rPr>
        <b/>
        <sz val="10"/>
        <rFont val="Times New Roman"/>
        <family val="1"/>
      </rPr>
      <t xml:space="preserve">Approx. borders </t>
    </r>
  </si>
  <si>
    <r>
      <rPr>
        <b/>
        <sz val="10"/>
        <color rgb="FF00B050"/>
        <rFont val="Times New Roman"/>
        <family val="1"/>
      </rPr>
      <t>SAnnn</t>
    </r>
    <r>
      <rPr>
        <b/>
        <sz val="10"/>
        <color rgb="FF7030A0"/>
        <rFont val="Times New Roman"/>
        <family val="1"/>
      </rPr>
      <t xml:space="preserve"> Ovarian </t>
    </r>
    <r>
      <rPr>
        <b/>
        <u/>
        <sz val="10"/>
        <rFont val="Times New Roman"/>
        <family val="1"/>
      </rPr>
      <t>small?</t>
    </r>
    <r>
      <rPr>
        <b/>
        <sz val="10"/>
        <rFont val="Times New Roman"/>
        <family val="1"/>
      </rPr>
      <t xml:space="preserve"> Approx</t>
    </r>
  </si>
  <si>
    <r>
      <rPr>
        <b/>
        <sz val="10"/>
        <color rgb="FF00B050"/>
        <rFont val="Times New Roman"/>
        <family val="1"/>
      </rPr>
      <t>SAnnn</t>
    </r>
    <r>
      <rPr>
        <b/>
        <sz val="10"/>
        <color rgb="FF7030A0"/>
        <rFont val="Times New Roman"/>
        <family val="1"/>
      </rPr>
      <t xml:space="preserve"> Ovarian </t>
    </r>
  </si>
  <si>
    <r>
      <rPr>
        <b/>
        <sz val="10"/>
        <color theme="9" tint="-0.499984740745262"/>
        <rFont val="Times New Roman"/>
        <family val="1"/>
      </rPr>
      <t>test</t>
    </r>
    <r>
      <rPr>
        <b/>
        <sz val="10"/>
        <rFont val="Times New Roman"/>
        <family val="1"/>
      </rPr>
      <t xml:space="preserve"> long ? Approx. irregular borders 2tumors together </t>
    </r>
  </si>
  <si>
    <t>* 2 mice treated with DRUG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</si>
</sst>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5" formatCode="0.0%"/>
    <numFmt numFmtId="166" formatCode="m/d/yyyy;@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i/>
      <sz val="11"/>
      <name val="Times New Roman"/>
      <family val="1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000000"/>
      <name val="Times New Roman"/>
      <family val="1"/>
    </font>
    <font>
      <sz val="10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vertAlign val="superscript"/>
      <sz val="10"/>
      <name val="Times New Roman"/>
      <family val="1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rgb="FF00B050"/>
      <name val="Times New Roman"/>
      <family val="1"/>
    </font>
    <font>
      <b/>
      <sz val="11"/>
      <color rgb="FF00B050"/>
      <name val="Times New Roman"/>
      <family val="1"/>
    </font>
    <font>
      <b/>
      <sz val="11"/>
      <color rgb="FF00B050"/>
      <name val="Calibri"/>
      <family val="2"/>
      <scheme val="minor"/>
    </font>
    <font>
      <b/>
      <sz val="10"/>
      <color rgb="FF7030A0"/>
      <name val="Times New Roman"/>
      <family val="1"/>
    </font>
    <font>
      <b/>
      <sz val="11"/>
      <color rgb="FF00B0F0"/>
      <name val="Times New Roman"/>
      <family val="1"/>
    </font>
    <font>
      <sz val="8"/>
      <name val="Times New Roman"/>
      <family val="1"/>
    </font>
    <font>
      <b/>
      <sz val="8"/>
      <color rgb="FF00B050"/>
      <name val="Times New Roman"/>
      <family val="1"/>
    </font>
    <font>
      <b/>
      <sz val="8"/>
      <color rgb="FF7030A0"/>
      <name val="Times New Roman"/>
      <family val="1"/>
    </font>
    <font>
      <b/>
      <sz val="8"/>
      <name val="Times New Roman"/>
      <family val="1"/>
    </font>
    <font>
      <b/>
      <sz val="8"/>
      <color rgb="FF0066FF"/>
      <name val="Times New Roman"/>
      <family val="1"/>
    </font>
    <font>
      <sz val="8"/>
      <color theme="1"/>
      <name val="Times New Roman"/>
      <family val="1"/>
    </font>
    <font>
      <i/>
      <sz val="8"/>
      <name val="Times New Roman"/>
      <family val="1"/>
    </font>
    <font>
      <b/>
      <sz val="8"/>
      <color theme="1"/>
      <name val="Times New Roman"/>
      <family val="1"/>
    </font>
    <font>
      <b/>
      <u/>
      <sz val="8"/>
      <name val="Times New Roman"/>
      <family val="1"/>
    </font>
    <font>
      <b/>
      <sz val="11"/>
      <color rgb="FF0066FF"/>
      <name val="Times New Roman"/>
      <family val="1"/>
    </font>
    <font>
      <b/>
      <u/>
      <sz val="10"/>
      <name val="Times New Roman"/>
      <family val="1"/>
    </font>
    <font>
      <u/>
      <sz val="8"/>
      <color theme="1"/>
      <name val="Times New Roman"/>
      <family val="1"/>
    </font>
    <font>
      <u/>
      <sz val="8"/>
      <name val="Times New Roman"/>
      <family val="1"/>
    </font>
    <font>
      <b/>
      <u/>
      <sz val="8"/>
      <color theme="1"/>
      <name val="Times New Roman"/>
      <family val="1"/>
    </font>
    <font>
      <b/>
      <u/>
      <sz val="8"/>
      <color rgb="FFFF0000"/>
      <name val="Times New Roman"/>
      <family val="1"/>
    </font>
    <font>
      <b/>
      <sz val="10"/>
      <color theme="9" tint="-0.49998474074526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indexed="64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ck">
        <color theme="1"/>
      </left>
      <right style="thin">
        <color auto="1"/>
      </right>
      <top style="double">
        <color auto="1"/>
      </top>
      <bottom/>
      <diagonal/>
    </border>
    <border>
      <left style="thick">
        <color theme="1"/>
      </left>
      <right style="thin">
        <color auto="1"/>
      </right>
      <top/>
      <bottom/>
      <diagonal/>
    </border>
    <border>
      <left style="thick">
        <color theme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indexed="64"/>
      </bottom>
      <diagonal/>
    </border>
  </borders>
  <cellStyleXfs count="478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17">
    <xf numFmtId="0" fontId="0" fillId="0" borderId="0" xfId="0"/>
    <xf numFmtId="164" fontId="4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5" fontId="4" fillId="0" borderId="0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0" borderId="0" xfId="0" applyFont="1"/>
    <xf numFmtId="0" fontId="9" fillId="0" borderId="0" xfId="0" applyFont="1" applyFill="1" applyAlignment="1">
      <alignment horizontal="left"/>
    </xf>
    <xf numFmtId="164" fontId="4" fillId="0" borderId="0" xfId="0" applyNumberFormat="1" applyFont="1" applyAlignment="1"/>
    <xf numFmtId="165" fontId="4" fillId="0" borderId="0" xfId="1" applyNumberFormat="1" applyFont="1" applyAlignment="1">
      <alignment horizontal="center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Fill="1" applyAlignment="1">
      <alignment horizontal="left"/>
    </xf>
    <xf numFmtId="0" fontId="4" fillId="0" borderId="10" xfId="0" applyFont="1" applyBorder="1" applyAlignment="1">
      <alignment horizontal="center"/>
    </xf>
    <xf numFmtId="166" fontId="15" fillId="0" borderId="0" xfId="0" applyNumberFormat="1" applyFont="1" applyFill="1" applyAlignment="1">
      <alignment horizontal="left"/>
    </xf>
    <xf numFmtId="0" fontId="5" fillId="0" borderId="2" xfId="0" applyFont="1" applyBorder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64" fontId="16" fillId="3" borderId="1" xfId="0" applyNumberFormat="1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164" fontId="16" fillId="3" borderId="10" xfId="0" applyNumberFormat="1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17" fillId="0" borderId="2" xfId="0" applyFont="1" applyFill="1" applyBorder="1" applyAlignment="1" applyProtection="1">
      <alignment horizontal="center" wrapText="1"/>
      <protection locked="0" hidden="1"/>
    </xf>
    <xf numFmtId="164" fontId="6" fillId="3" borderId="1" xfId="0" applyNumberFormat="1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64" fontId="6" fillId="3" borderId="4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164" fontId="6" fillId="0" borderId="27" xfId="0" applyNumberFormat="1" applyFont="1" applyFill="1" applyBorder="1" applyAlignment="1">
      <alignment horizontal="center" wrapText="1"/>
    </xf>
    <xf numFmtId="0" fontId="21" fillId="0" borderId="1" xfId="0" applyFont="1" applyBorder="1" applyAlignment="1">
      <alignment horizontal="left" vertical="center"/>
    </xf>
    <xf numFmtId="164" fontId="4" fillId="0" borderId="4" xfId="0" applyNumberFormat="1" applyFont="1" applyBorder="1" applyAlignment="1">
      <alignment horizontal="center" vertical="center"/>
    </xf>
    <xf numFmtId="165" fontId="4" fillId="0" borderId="4" xfId="1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20" fillId="0" borderId="5" xfId="0" applyFont="1" applyFill="1" applyBorder="1" applyAlignment="1" applyProtection="1">
      <alignment horizontal="center" wrapText="1"/>
      <protection locked="0" hidden="1"/>
    </xf>
    <xf numFmtId="0" fontId="5" fillId="3" borderId="23" xfId="0" applyFont="1" applyFill="1" applyBorder="1" applyAlignment="1">
      <alignment horizontal="center" vertical="center"/>
    </xf>
    <xf numFmtId="164" fontId="5" fillId="0" borderId="23" xfId="0" applyNumberFormat="1" applyFont="1" applyBorder="1" applyAlignment="1">
      <alignment horizontal="center"/>
    </xf>
    <xf numFmtId="165" fontId="5" fillId="0" borderId="4" xfId="1" applyNumberFormat="1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/>
    </xf>
    <xf numFmtId="164" fontId="16" fillId="3" borderId="27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5" fontId="5" fillId="0" borderId="1" xfId="1" applyNumberFormat="1" applyFont="1" applyBorder="1" applyAlignment="1">
      <alignment horizontal="center" vertical="center"/>
    </xf>
    <xf numFmtId="164" fontId="16" fillId="3" borderId="4" xfId="0" applyNumberFormat="1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164" fontId="16" fillId="3" borderId="25" xfId="0" applyNumberFormat="1" applyFont="1" applyFill="1" applyBorder="1" applyAlignment="1">
      <alignment horizontal="center"/>
    </xf>
    <xf numFmtId="164" fontId="16" fillId="0" borderId="2" xfId="0" applyNumberFormat="1" applyFont="1" applyBorder="1" applyAlignment="1">
      <alignment horizontal="center"/>
    </xf>
    <xf numFmtId="0" fontId="19" fillId="0" borderId="11" xfId="0" applyFont="1" applyBorder="1" applyAlignment="1" applyProtection="1">
      <alignment horizontal="center"/>
      <protection locked="0" hidden="1"/>
    </xf>
    <xf numFmtId="0" fontId="19" fillId="0" borderId="5" xfId="0" applyFont="1" applyBorder="1" applyAlignment="1" applyProtection="1">
      <alignment horizontal="center"/>
      <protection locked="0" hidden="1"/>
    </xf>
    <xf numFmtId="165" fontId="19" fillId="0" borderId="5" xfId="1" applyNumberFormat="1" applyFont="1" applyBorder="1" applyAlignment="1" applyProtection="1">
      <alignment horizontal="center" wrapText="1"/>
      <protection locked="0" hidden="1"/>
    </xf>
    <xf numFmtId="0" fontId="5" fillId="3" borderId="22" xfId="0" applyFont="1" applyFill="1" applyBorder="1" applyAlignment="1">
      <alignment horizontal="center" vertical="center"/>
    </xf>
    <xf numFmtId="164" fontId="16" fillId="0" borderId="23" xfId="0" applyNumberFormat="1" applyFont="1" applyFill="1" applyBorder="1" applyAlignment="1">
      <alignment horizontal="center"/>
    </xf>
    <xf numFmtId="165" fontId="5" fillId="0" borderId="5" xfId="1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16" fillId="0" borderId="25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165" fontId="5" fillId="3" borderId="1" xfId="1" applyNumberFormat="1" applyFont="1" applyFill="1" applyBorder="1" applyAlignment="1">
      <alignment horizontal="center" vertical="center"/>
    </xf>
    <xf numFmtId="164" fontId="16" fillId="3" borderId="2" xfId="0" applyNumberFormat="1" applyFont="1" applyFill="1" applyBorder="1" applyAlignment="1">
      <alignment horizontal="center"/>
    </xf>
    <xf numFmtId="0" fontId="24" fillId="0" borderId="5" xfId="0" applyFont="1" applyBorder="1" applyAlignment="1" applyProtection="1">
      <alignment horizontal="center" wrapText="1"/>
      <protection locked="0" hidden="1"/>
    </xf>
    <xf numFmtId="164" fontId="16" fillId="0" borderId="23" xfId="0" applyNumberFormat="1" applyFont="1" applyBorder="1" applyAlignment="1">
      <alignment horizontal="center" vertical="center"/>
    </xf>
    <xf numFmtId="164" fontId="16" fillId="0" borderId="3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164" fontId="16" fillId="3" borderId="1" xfId="0" applyNumberFormat="1" applyFont="1" applyFill="1" applyBorder="1" applyAlignment="1">
      <alignment horizontal="center" vertical="center"/>
    </xf>
    <xf numFmtId="164" fontId="16" fillId="0" borderId="2" xfId="0" applyNumberFormat="1" applyFont="1" applyBorder="1" applyAlignment="1">
      <alignment horizontal="center" vertical="center"/>
    </xf>
    <xf numFmtId="164" fontId="16" fillId="0" borderId="4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4" fillId="0" borderId="25" xfId="1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Font="1" applyFill="1" applyBorder="1" applyAlignment="1" applyProtection="1">
      <alignment horizontal="center" wrapText="1"/>
      <protection locked="0" hidden="1"/>
    </xf>
    <xf numFmtId="0" fontId="13" fillId="3" borderId="10" xfId="0" applyFont="1" applyFill="1" applyBorder="1"/>
    <xf numFmtId="0" fontId="17" fillId="0" borderId="2" xfId="0" applyFont="1" applyBorder="1" applyAlignment="1" applyProtection="1">
      <alignment horizontal="center"/>
      <protection locked="0" hidden="1"/>
    </xf>
    <xf numFmtId="166" fontId="5" fillId="0" borderId="0" xfId="0" applyNumberFormat="1" applyFont="1" applyFill="1" applyAlignment="1">
      <alignment horizontal="left"/>
    </xf>
    <xf numFmtId="0" fontId="5" fillId="0" borderId="26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164" fontId="16" fillId="3" borderId="3" xfId="0" applyNumberFormat="1" applyFont="1" applyFill="1" applyBorder="1" applyAlignment="1">
      <alignment horizontal="center"/>
    </xf>
    <xf numFmtId="0" fontId="16" fillId="3" borderId="10" xfId="0" applyFont="1" applyFill="1" applyBorder="1" applyAlignment="1">
      <alignment horizontal="center"/>
    </xf>
    <xf numFmtId="164" fontId="16" fillId="3" borderId="10" xfId="0" applyNumberFormat="1" applyFont="1" applyFill="1" applyBorder="1" applyAlignment="1">
      <alignment horizontal="center" vertical="center"/>
    </xf>
    <xf numFmtId="164" fontId="16" fillId="0" borderId="3" xfId="0" applyNumberFormat="1" applyFont="1" applyBorder="1" applyAlignment="1">
      <alignment horizontal="center"/>
    </xf>
    <xf numFmtId="0" fontId="4" fillId="0" borderId="25" xfId="0" applyFont="1" applyFill="1" applyBorder="1"/>
    <xf numFmtId="0" fontId="4" fillId="0" borderId="1" xfId="0" applyFont="1" applyFill="1" applyBorder="1"/>
    <xf numFmtId="0" fontId="4" fillId="0" borderId="10" xfId="0" applyFont="1" applyFill="1" applyBorder="1"/>
    <xf numFmtId="0" fontId="4" fillId="0" borderId="3" xfId="0" applyFont="1" applyFill="1" applyBorder="1"/>
    <xf numFmtId="165" fontId="4" fillId="0" borderId="3" xfId="1" applyNumberFormat="1" applyFont="1" applyFill="1" applyBorder="1" applyAlignment="1">
      <alignment horizontal="center" vertical="center"/>
    </xf>
    <xf numFmtId="0" fontId="19" fillId="0" borderId="23" xfId="0" applyFont="1" applyBorder="1" applyAlignment="1" applyProtection="1">
      <alignment horizontal="center" wrapText="1"/>
      <protection locked="0" hidden="1"/>
    </xf>
    <xf numFmtId="0" fontId="5" fillId="0" borderId="16" xfId="0" applyFont="1" applyBorder="1" applyAlignment="1">
      <alignment horizontal="center"/>
    </xf>
    <xf numFmtId="165" fontId="4" fillId="3" borderId="25" xfId="1" applyNumberFormat="1" applyFont="1" applyFill="1" applyBorder="1" applyAlignment="1">
      <alignment horizontal="center" vertical="center"/>
    </xf>
    <xf numFmtId="165" fontId="4" fillId="3" borderId="1" xfId="1" applyNumberFormat="1" applyFont="1" applyFill="1" applyBorder="1" applyAlignment="1">
      <alignment horizontal="center" vertical="center"/>
    </xf>
    <xf numFmtId="165" fontId="4" fillId="3" borderId="10" xfId="1" applyNumberFormat="1" applyFont="1" applyFill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0" fontId="17" fillId="3" borderId="1" xfId="0" applyFont="1" applyFill="1" applyBorder="1"/>
    <xf numFmtId="0" fontId="17" fillId="3" borderId="5" xfId="0" applyFont="1" applyFill="1" applyBorder="1"/>
    <xf numFmtId="165" fontId="5" fillId="0" borderId="2" xfId="1" applyNumberFormat="1" applyFont="1" applyBorder="1" applyAlignment="1">
      <alignment horizontal="center" vertical="center"/>
    </xf>
    <xf numFmtId="164" fontId="16" fillId="0" borderId="4" xfId="0" applyNumberFormat="1" applyFont="1" applyBorder="1" applyAlignment="1">
      <alignment horizontal="center" vertical="center"/>
    </xf>
    <xf numFmtId="164" fontId="16" fillId="0" borderId="25" xfId="0" applyNumberFormat="1" applyFont="1" applyBorder="1" applyAlignment="1">
      <alignment horizontal="center"/>
    </xf>
    <xf numFmtId="164" fontId="16" fillId="0" borderId="1" xfId="0" applyNumberFormat="1" applyFont="1" applyBorder="1" applyAlignment="1">
      <alignment horizontal="center"/>
    </xf>
    <xf numFmtId="0" fontId="21" fillId="0" borderId="0" xfId="0" applyFont="1" applyFill="1" applyAlignment="1">
      <alignment horizontal="left"/>
    </xf>
    <xf numFmtId="0" fontId="5" fillId="3" borderId="25" xfId="0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164" fontId="4" fillId="0" borderId="39" xfId="0" applyNumberFormat="1" applyFont="1" applyBorder="1" applyAlignment="1">
      <alignment horizontal="center"/>
    </xf>
    <xf numFmtId="164" fontId="6" fillId="0" borderId="39" xfId="0" applyNumberFormat="1" applyFont="1" applyBorder="1" applyAlignment="1">
      <alignment horizontal="center"/>
    </xf>
    <xf numFmtId="165" fontId="5" fillId="0" borderId="25" xfId="1" applyNumberFormat="1" applyFont="1" applyBorder="1" applyAlignment="1">
      <alignment horizontal="center" vertical="center"/>
    </xf>
    <xf numFmtId="165" fontId="4" fillId="0" borderId="39" xfId="1" applyNumberFormat="1" applyFont="1" applyBorder="1" applyAlignment="1">
      <alignment horizontal="center"/>
    </xf>
    <xf numFmtId="0" fontId="25" fillId="0" borderId="3" xfId="0" applyFont="1" applyBorder="1"/>
    <xf numFmtId="0" fontId="13" fillId="0" borderId="0" xfId="0" applyFont="1" applyFill="1" applyAlignment="1">
      <alignment horizontal="left"/>
    </xf>
    <xf numFmtId="164" fontId="5" fillId="0" borderId="39" xfId="0" applyNumberFormat="1" applyFont="1" applyBorder="1" applyAlignment="1">
      <alignment horizontal="center"/>
    </xf>
    <xf numFmtId="164" fontId="16" fillId="0" borderId="25" xfId="0" applyNumberFormat="1" applyFont="1" applyBorder="1" applyAlignment="1">
      <alignment horizontal="center" vertical="center"/>
    </xf>
    <xf numFmtId="164" fontId="26" fillId="3" borderId="10" xfId="0" applyNumberFormat="1" applyFont="1" applyFill="1" applyBorder="1" applyAlignment="1">
      <alignment horizontal="center" vertical="center"/>
    </xf>
    <xf numFmtId="0" fontId="27" fillId="0" borderId="1" xfId="0" applyFont="1" applyBorder="1" applyAlignment="1">
      <alignment horizontal="left" vertical="center"/>
    </xf>
    <xf numFmtId="0" fontId="31" fillId="0" borderId="25" xfId="0" applyFont="1" applyBorder="1" applyAlignment="1">
      <alignment horizontal="left" vertical="center"/>
    </xf>
    <xf numFmtId="0" fontId="32" fillId="0" borderId="0" xfId="0" applyFont="1" applyFill="1" applyAlignment="1">
      <alignment horizontal="left"/>
    </xf>
    <xf numFmtId="0" fontId="33" fillId="0" borderId="0" xfId="0" applyFont="1" applyAlignment="1">
      <alignment horizontal="left" vertical="center"/>
    </xf>
    <xf numFmtId="0" fontId="27" fillId="0" borderId="2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7" fillId="3" borderId="1" xfId="0" applyFont="1" applyFill="1" applyBorder="1" applyAlignment="1">
      <alignment horizontal="left" vertical="center"/>
    </xf>
    <xf numFmtId="0" fontId="27" fillId="0" borderId="2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/>
    </xf>
    <xf numFmtId="0" fontId="30" fillId="0" borderId="2" xfId="0" applyFont="1" applyBorder="1" applyAlignment="1">
      <alignment horizontal="left" vertical="center"/>
    </xf>
    <xf numFmtId="0" fontId="33" fillId="0" borderId="39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4" fillId="0" borderId="39" xfId="0" applyFont="1" applyBorder="1"/>
    <xf numFmtId="166" fontId="5" fillId="3" borderId="0" xfId="0" applyNumberFormat="1" applyFont="1" applyFill="1" applyAlignment="1">
      <alignment horizontal="left"/>
    </xf>
    <xf numFmtId="164" fontId="6" fillId="3" borderId="25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164" fontId="6" fillId="3" borderId="10" xfId="0" applyNumberFormat="1" applyFont="1" applyFill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17" fillId="3" borderId="10" xfId="0" applyFont="1" applyFill="1" applyBorder="1"/>
    <xf numFmtId="0" fontId="17" fillId="3" borderId="0" xfId="0" applyFont="1" applyFill="1" applyBorder="1"/>
    <xf numFmtId="0" fontId="23" fillId="3" borderId="17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36" fillId="3" borderId="17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left" vertical="center"/>
    </xf>
    <xf numFmtId="0" fontId="4" fillId="4" borderId="25" xfId="0" applyFont="1" applyFill="1" applyBorder="1"/>
    <xf numFmtId="164" fontId="16" fillId="4" borderId="25" xfId="0" applyNumberFormat="1" applyFont="1" applyFill="1" applyBorder="1" applyAlignment="1">
      <alignment horizontal="center"/>
    </xf>
    <xf numFmtId="164" fontId="6" fillId="4" borderId="25" xfId="0" applyNumberFormat="1" applyFont="1" applyFill="1" applyBorder="1" applyAlignment="1">
      <alignment horizontal="center" vertical="center"/>
    </xf>
    <xf numFmtId="165" fontId="4" fillId="4" borderId="25" xfId="1" applyNumberFormat="1" applyFont="1" applyFill="1" applyBorder="1" applyAlignment="1">
      <alignment horizontal="center" vertical="center"/>
    </xf>
    <xf numFmtId="0" fontId="17" fillId="4" borderId="1" xfId="0" applyFont="1" applyFill="1" applyBorder="1"/>
    <xf numFmtId="0" fontId="4" fillId="4" borderId="25" xfId="0" applyFont="1" applyFill="1" applyBorder="1" applyAlignment="1">
      <alignment horizontal="center"/>
    </xf>
    <xf numFmtId="0" fontId="0" fillId="4" borderId="0" xfId="0" applyFill="1"/>
    <xf numFmtId="0" fontId="5" fillId="4" borderId="9" xfId="0" applyFont="1" applyFill="1" applyBorder="1" applyAlignment="1">
      <alignment horizontal="center"/>
    </xf>
    <xf numFmtId="164" fontId="6" fillId="0" borderId="25" xfId="0" applyNumberFormat="1" applyFont="1" applyFill="1" applyBorder="1" applyAlignment="1">
      <alignment horizontal="center" vertical="center"/>
    </xf>
    <xf numFmtId="165" fontId="4" fillId="0" borderId="25" xfId="1" applyNumberFormat="1" applyFont="1" applyFill="1" applyBorder="1" applyAlignment="1">
      <alignment horizontal="center" vertical="center"/>
    </xf>
    <xf numFmtId="0" fontId="17" fillId="0" borderId="1" xfId="0" applyFont="1" applyFill="1" applyBorder="1"/>
    <xf numFmtId="0" fontId="4" fillId="0" borderId="25" xfId="0" applyFont="1" applyFill="1" applyBorder="1" applyAlignment="1">
      <alignment horizontal="center"/>
    </xf>
    <xf numFmtId="0" fontId="4" fillId="0" borderId="9" xfId="0" applyFont="1" applyFill="1" applyBorder="1"/>
    <xf numFmtId="0" fontId="0" fillId="0" borderId="24" xfId="0" applyFont="1" applyFill="1" applyBorder="1" applyAlignment="1" applyProtection="1">
      <alignment horizontal="center"/>
      <protection locked="0" hidden="1"/>
    </xf>
    <xf numFmtId="164" fontId="16" fillId="4" borderId="2" xfId="0" applyNumberFormat="1" applyFont="1" applyFill="1" applyBorder="1" applyAlignment="1">
      <alignment horizontal="center"/>
    </xf>
    <xf numFmtId="164" fontId="16" fillId="3" borderId="2" xfId="0" applyNumberFormat="1" applyFont="1" applyFill="1" applyBorder="1" applyAlignment="1">
      <alignment horizontal="center" vertical="center"/>
    </xf>
    <xf numFmtId="165" fontId="5" fillId="3" borderId="2" xfId="1" applyNumberFormat="1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left" vertical="center"/>
    </xf>
    <xf numFmtId="0" fontId="5" fillId="3" borderId="16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left" vertical="center"/>
    </xf>
    <xf numFmtId="165" fontId="4" fillId="0" borderId="0" xfId="1" applyNumberFormat="1" applyFont="1" applyAlignment="1">
      <alignment horizontal="right"/>
    </xf>
    <xf numFmtId="0" fontId="12" fillId="0" borderId="12" xfId="0" applyFont="1" applyFill="1" applyBorder="1" applyAlignment="1">
      <alignment horizontal="center" wrapText="1"/>
    </xf>
    <xf numFmtId="0" fontId="12" fillId="0" borderId="25" xfId="0" applyFont="1" applyFill="1" applyBorder="1" applyAlignment="1">
      <alignment horizontal="center" wrapText="1"/>
    </xf>
    <xf numFmtId="0" fontId="6" fillId="0" borderId="19" xfId="0" applyFont="1" applyFill="1" applyBorder="1" applyAlignment="1">
      <alignment horizontal="center"/>
    </xf>
    <xf numFmtId="0" fontId="6" fillId="0" borderId="26" xfId="0" applyFont="1" applyFill="1" applyBorder="1" applyAlignment="1">
      <alignment horizontal="center"/>
    </xf>
    <xf numFmtId="164" fontId="6" fillId="0" borderId="12" xfId="0" applyNumberFormat="1" applyFont="1" applyFill="1" applyBorder="1" applyAlignment="1">
      <alignment horizontal="center" wrapText="1"/>
    </xf>
    <xf numFmtId="164" fontId="6" fillId="0" borderId="25" xfId="0" applyNumberFormat="1" applyFont="1" applyFill="1" applyBorder="1" applyAlignment="1">
      <alignment horizontal="center" wrapText="1"/>
    </xf>
    <xf numFmtId="165" fontId="6" fillId="0" borderId="12" xfId="1" applyNumberFormat="1" applyFont="1" applyFill="1" applyBorder="1" applyAlignment="1">
      <alignment horizontal="center" wrapText="1"/>
    </xf>
    <xf numFmtId="165" fontId="6" fillId="0" borderId="4" xfId="1" applyNumberFormat="1" applyFont="1" applyFill="1" applyBorder="1" applyAlignment="1">
      <alignment horizontal="center" wrapText="1"/>
    </xf>
    <xf numFmtId="0" fontId="11" fillId="0" borderId="12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26" fillId="3" borderId="11" xfId="0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6" fillId="0" borderId="30" xfId="0" applyFont="1" applyFill="1" applyBorder="1" applyAlignment="1">
      <alignment horizontal="center"/>
    </xf>
    <xf numFmtId="0" fontId="6" fillId="0" borderId="34" xfId="0" applyFont="1" applyFill="1" applyBorder="1" applyAlignment="1">
      <alignment horizontal="center"/>
    </xf>
    <xf numFmtId="0" fontId="6" fillId="0" borderId="35" xfId="0" applyFont="1" applyFill="1" applyBorder="1" applyAlignment="1">
      <alignment horizontal="center"/>
    </xf>
    <xf numFmtId="0" fontId="6" fillId="0" borderId="36" xfId="0" applyFont="1" applyFill="1" applyBorder="1" applyAlignment="1">
      <alignment horizontal="center"/>
    </xf>
    <xf numFmtId="0" fontId="6" fillId="0" borderId="37" xfId="0" applyFont="1" applyFill="1" applyBorder="1" applyAlignment="1">
      <alignment horizontal="center"/>
    </xf>
    <xf numFmtId="0" fontId="6" fillId="0" borderId="38" xfId="0" applyFont="1" applyFill="1" applyBorder="1" applyAlignment="1">
      <alignment horizontal="center"/>
    </xf>
    <xf numFmtId="0" fontId="4" fillId="0" borderId="3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17" fillId="0" borderId="7" xfId="0" applyFont="1" applyBorder="1" applyAlignment="1" applyProtection="1">
      <alignment horizontal="center"/>
      <protection locked="0" hidden="1"/>
    </xf>
    <xf numFmtId="0" fontId="16" fillId="0" borderId="8" xfId="0" applyFont="1" applyFill="1" applyBorder="1" applyAlignment="1" applyProtection="1">
      <alignment horizontal="center"/>
      <protection locked="0" hidden="1"/>
    </xf>
    <xf numFmtId="0" fontId="16" fillId="0" borderId="16" xfId="0" applyFont="1" applyFill="1" applyBorder="1" applyAlignment="1" applyProtection="1">
      <alignment horizontal="center"/>
      <protection locked="0" hidden="1"/>
    </xf>
    <xf numFmtId="0" fontId="17" fillId="0" borderId="7" xfId="0" applyFont="1" applyBorder="1" applyAlignment="1" applyProtection="1">
      <alignment horizontal="center" wrapText="1"/>
      <protection locked="0" hidden="1"/>
    </xf>
    <xf numFmtId="0" fontId="17" fillId="0" borderId="2" xfId="0" applyFont="1" applyBorder="1" applyAlignment="1" applyProtection="1">
      <alignment horizontal="center" wrapText="1"/>
      <protection locked="0" hidden="1"/>
    </xf>
    <xf numFmtId="165" fontId="17" fillId="0" borderId="7" xfId="1" applyNumberFormat="1" applyFont="1" applyBorder="1" applyAlignment="1" applyProtection="1">
      <alignment horizontal="center" wrapText="1"/>
      <protection locked="0" hidden="1"/>
    </xf>
    <xf numFmtId="165" fontId="17" fillId="0" borderId="2" xfId="1" applyNumberFormat="1" applyFont="1" applyBorder="1" applyAlignment="1" applyProtection="1">
      <alignment horizontal="center" wrapText="1"/>
      <protection locked="0" hidden="1"/>
    </xf>
    <xf numFmtId="0" fontId="17" fillId="0" borderId="12" xfId="0" applyFont="1" applyBorder="1" applyAlignment="1" applyProtection="1">
      <alignment horizontal="center"/>
      <protection locked="0" hidden="1"/>
    </xf>
    <xf numFmtId="0" fontId="17" fillId="0" borderId="4" xfId="0" applyFont="1" applyBorder="1" applyAlignment="1" applyProtection="1">
      <alignment horizontal="center"/>
      <protection locked="0" hidden="1"/>
    </xf>
    <xf numFmtId="0" fontId="17" fillId="0" borderId="6" xfId="0" applyFont="1" applyBorder="1" applyAlignment="1" applyProtection="1">
      <alignment horizontal="center"/>
      <protection locked="0" hidden="1"/>
    </xf>
    <xf numFmtId="0" fontId="17" fillId="0" borderId="13" xfId="0" applyFont="1" applyBorder="1" applyAlignment="1" applyProtection="1">
      <alignment horizontal="center"/>
      <protection locked="0" hidden="1"/>
    </xf>
    <xf numFmtId="0" fontId="17" fillId="0" borderId="2" xfId="0" applyFont="1" applyBorder="1" applyAlignment="1" applyProtection="1">
      <alignment horizontal="center"/>
      <protection locked="0" hidden="1"/>
    </xf>
    <xf numFmtId="0" fontId="22" fillId="0" borderId="0" xfId="0" applyFont="1" applyFill="1" applyAlignment="1">
      <alignment horizontal="center"/>
    </xf>
  </cellXfs>
  <cellStyles count="478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Normal" xfId="0" builtinId="0"/>
    <cellStyle name="Percent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CCFF"/>
      <color rgb="FF0066FF"/>
      <color rgb="FFFF00FF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"/>
  <sheetViews>
    <sheetView topLeftCell="A3" zoomScale="140" zoomScaleNormal="140" zoomScaleSheetLayoutView="100" zoomScalePageLayoutView="111" workbookViewId="0">
      <selection activeCell="H35" sqref="H35"/>
    </sheetView>
  </sheetViews>
  <sheetFormatPr baseColWidth="10" defaultColWidth="8.6640625" defaultRowHeight="14" x14ac:dyDescent="0.15"/>
  <cols>
    <col min="1" max="1" width="12.83203125" style="11" customWidth="1"/>
    <col min="2" max="2" width="2.5" style="10" bestFit="1" customWidth="1"/>
    <col min="3" max="3" width="11.6640625" style="1" customWidth="1"/>
    <col min="4" max="4" width="11.33203125" style="1" customWidth="1"/>
    <col min="5" max="5" width="9.5" style="2" customWidth="1"/>
    <col min="6" max="6" width="7.83203125" style="1" customWidth="1"/>
    <col min="7" max="7" width="8.5" style="8" customWidth="1"/>
    <col min="8" max="8" width="59.5" style="4" customWidth="1"/>
    <col min="9" max="12" width="5.5" style="5" customWidth="1"/>
    <col min="13" max="13" width="8.33203125" style="5" customWidth="1"/>
    <col min="14" max="16384" width="8.6640625" style="5"/>
  </cols>
  <sheetData>
    <row r="1" spans="1:13" ht="25.25" customHeight="1" x14ac:dyDescent="0.2">
      <c r="A1" s="6" t="s">
        <v>10</v>
      </c>
      <c r="D1" s="7"/>
      <c r="F1" s="175" t="s">
        <v>17</v>
      </c>
      <c r="G1" s="175"/>
      <c r="H1" s="175"/>
      <c r="I1" s="175"/>
      <c r="J1" s="175"/>
      <c r="K1" s="175"/>
      <c r="L1" s="175"/>
      <c r="M1" s="175"/>
    </row>
    <row r="2" spans="1:13" ht="18" customHeight="1" thickBot="1" x14ac:dyDescent="0.2">
      <c r="A2" s="141">
        <v>46195</v>
      </c>
      <c r="B2" s="31"/>
      <c r="H2" s="32"/>
    </row>
    <row r="3" spans="1:13" ht="15" customHeight="1" x14ac:dyDescent="0.15">
      <c r="A3" s="197" t="s">
        <v>2</v>
      </c>
      <c r="B3" s="198"/>
      <c r="C3" s="195" t="s">
        <v>0</v>
      </c>
      <c r="D3" s="196"/>
      <c r="E3" s="180" t="s">
        <v>18</v>
      </c>
      <c r="F3" s="180" t="s">
        <v>8</v>
      </c>
      <c r="G3" s="182" t="s">
        <v>9</v>
      </c>
      <c r="H3" s="184" t="s">
        <v>1</v>
      </c>
      <c r="I3" s="176" t="s">
        <v>12</v>
      </c>
      <c r="J3" s="176" t="s">
        <v>13</v>
      </c>
      <c r="K3" s="176" t="s">
        <v>15</v>
      </c>
      <c r="L3" s="176" t="s">
        <v>14</v>
      </c>
      <c r="M3" s="178" t="s">
        <v>11</v>
      </c>
    </row>
    <row r="4" spans="1:13" ht="28.5" customHeight="1" thickBot="1" x14ac:dyDescent="0.2">
      <c r="A4" s="199"/>
      <c r="B4" s="200"/>
      <c r="C4" s="33" t="s">
        <v>5</v>
      </c>
      <c r="D4" s="33" t="s">
        <v>4</v>
      </c>
      <c r="E4" s="181"/>
      <c r="F4" s="181"/>
      <c r="G4" s="183"/>
      <c r="H4" s="185"/>
      <c r="I4" s="177"/>
      <c r="J4" s="177"/>
      <c r="K4" s="177"/>
      <c r="L4" s="177"/>
      <c r="M4" s="179"/>
    </row>
    <row r="5" spans="1:13" ht="0.75" customHeight="1" thickTop="1" thickBot="1" x14ac:dyDescent="0.2">
      <c r="A5" s="193"/>
      <c r="B5" s="28"/>
      <c r="C5" s="26"/>
      <c r="D5" s="26"/>
      <c r="E5" s="24"/>
      <c r="F5" s="25"/>
      <c r="G5" s="75"/>
      <c r="H5" s="34"/>
      <c r="I5" s="16"/>
      <c r="J5" s="16"/>
      <c r="K5" s="16"/>
      <c r="L5" s="16"/>
      <c r="M5" s="131"/>
    </row>
    <row r="6" spans="1:13" ht="15.75" hidden="1" customHeight="1" thickBot="1" x14ac:dyDescent="0.2">
      <c r="A6" s="194"/>
      <c r="B6" s="29"/>
      <c r="C6" s="27"/>
      <c r="D6" s="27"/>
      <c r="E6" s="30"/>
      <c r="F6" s="35"/>
      <c r="G6" s="36"/>
      <c r="H6" s="37"/>
      <c r="I6" s="17">
        <v>0</v>
      </c>
      <c r="J6" s="17">
        <v>0</v>
      </c>
      <c r="K6" s="17">
        <v>0</v>
      </c>
      <c r="L6" s="17">
        <v>0</v>
      </c>
      <c r="M6" s="132" t="s">
        <v>19</v>
      </c>
    </row>
    <row r="7" spans="1:13" ht="16" thickTop="1" thickBot="1" x14ac:dyDescent="0.2">
      <c r="A7" s="58"/>
      <c r="B7" s="39"/>
      <c r="C7" s="40"/>
      <c r="D7" s="40"/>
      <c r="E7" s="59"/>
      <c r="F7" s="67"/>
      <c r="G7" s="41"/>
      <c r="H7" s="123"/>
      <c r="I7" s="133"/>
      <c r="J7" s="133"/>
      <c r="K7" s="133"/>
      <c r="L7" s="133"/>
      <c r="M7" s="132"/>
    </row>
    <row r="8" spans="1:13" ht="16.5" hidden="1" customHeight="1" thickTop="1" thickBot="1" x14ac:dyDescent="0.2">
      <c r="A8" s="188"/>
      <c r="B8" s="42"/>
      <c r="C8" s="43"/>
      <c r="D8" s="43"/>
      <c r="E8" s="44"/>
      <c r="F8" s="68"/>
      <c r="G8" s="60"/>
      <c r="H8" s="124"/>
      <c r="I8" s="134">
        <v>0</v>
      </c>
      <c r="J8" s="134">
        <v>0</v>
      </c>
      <c r="K8" s="134">
        <v>0</v>
      </c>
      <c r="L8" s="134">
        <v>0</v>
      </c>
      <c r="M8" s="132" t="s">
        <v>21</v>
      </c>
    </row>
    <row r="9" spans="1:13" ht="16.5" hidden="1" customHeight="1" thickTop="1" thickBot="1" x14ac:dyDescent="0.2">
      <c r="A9" s="189"/>
      <c r="B9" s="61"/>
      <c r="C9" s="45"/>
      <c r="D9" s="45"/>
      <c r="E9" s="19"/>
      <c r="F9" s="69"/>
      <c r="G9" s="46"/>
      <c r="H9" s="119"/>
      <c r="I9" s="16">
        <v>0</v>
      </c>
      <c r="J9" s="16">
        <v>0</v>
      </c>
      <c r="K9" s="16">
        <v>0</v>
      </c>
      <c r="L9" s="16">
        <v>0</v>
      </c>
      <c r="M9" s="132" t="s">
        <v>21</v>
      </c>
    </row>
    <row r="10" spans="1:13" ht="16.5" hidden="1" customHeight="1" thickTop="1" thickBot="1" x14ac:dyDescent="0.2">
      <c r="A10" s="190"/>
      <c r="B10" s="61"/>
      <c r="C10" s="45"/>
      <c r="D10" s="45"/>
      <c r="E10" s="47"/>
      <c r="F10" s="69"/>
      <c r="G10" s="41"/>
      <c r="H10" s="119"/>
      <c r="I10" s="16">
        <v>0</v>
      </c>
      <c r="J10" s="16">
        <v>0</v>
      </c>
      <c r="K10" s="16">
        <v>0</v>
      </c>
      <c r="L10" s="16">
        <v>0</v>
      </c>
      <c r="M10" s="132" t="s">
        <v>21</v>
      </c>
    </row>
    <row r="11" spans="1:13" ht="16.5" hidden="1" customHeight="1" thickTop="1" thickBot="1" x14ac:dyDescent="0.2">
      <c r="A11" s="191">
        <v>220711</v>
      </c>
      <c r="B11" s="48"/>
      <c r="C11" s="43"/>
      <c r="D11" s="43"/>
      <c r="E11" s="62"/>
      <c r="F11" s="68"/>
      <c r="G11" s="60"/>
      <c r="H11" s="124"/>
      <c r="I11" s="134">
        <v>0</v>
      </c>
      <c r="J11" s="134">
        <v>0</v>
      </c>
      <c r="K11" s="134">
        <v>0</v>
      </c>
      <c r="L11" s="134">
        <v>0</v>
      </c>
      <c r="M11" s="132" t="s">
        <v>21</v>
      </c>
    </row>
    <row r="12" spans="1:13" ht="16.5" hidden="1" customHeight="1" thickTop="1" thickBot="1" x14ac:dyDescent="0.2">
      <c r="A12" s="192"/>
      <c r="B12" s="49"/>
      <c r="C12" s="63"/>
      <c r="D12" s="63"/>
      <c r="E12" s="19"/>
      <c r="F12" s="70"/>
      <c r="G12" s="64"/>
      <c r="H12" s="125"/>
      <c r="I12" s="16"/>
      <c r="J12" s="16"/>
      <c r="K12" s="16"/>
      <c r="L12" s="16"/>
      <c r="M12" s="132" t="s">
        <v>21</v>
      </c>
    </row>
    <row r="13" spans="1:13" ht="16.5" hidden="1" customHeight="1" thickTop="1" thickBot="1" x14ac:dyDescent="0.2">
      <c r="A13" s="192"/>
      <c r="B13" s="50"/>
      <c r="C13" s="51"/>
      <c r="D13" s="51"/>
      <c r="E13" s="65"/>
      <c r="F13" s="71"/>
      <c r="G13" s="41"/>
      <c r="H13" s="126"/>
      <c r="I13" s="14"/>
      <c r="J13" s="14"/>
      <c r="K13" s="14"/>
      <c r="L13" s="14"/>
      <c r="M13" s="132" t="s">
        <v>21</v>
      </c>
    </row>
    <row r="14" spans="1:13" ht="15" thickTop="1" x14ac:dyDescent="0.15">
      <c r="A14" s="186"/>
      <c r="B14" s="49"/>
      <c r="C14" s="105"/>
      <c r="D14" s="106"/>
      <c r="E14" s="53"/>
      <c r="F14" s="69"/>
      <c r="G14" s="100"/>
      <c r="H14" s="119"/>
      <c r="I14" s="16"/>
      <c r="J14" s="16"/>
      <c r="K14" s="16"/>
      <c r="L14" s="16"/>
      <c r="M14" s="135"/>
    </row>
    <row r="15" spans="1:13" x14ac:dyDescent="0.15">
      <c r="A15" s="186"/>
      <c r="B15" s="49"/>
      <c r="C15" s="106"/>
      <c r="D15" s="106"/>
      <c r="E15" s="19"/>
      <c r="F15" s="69"/>
      <c r="G15" s="100"/>
      <c r="H15" s="119"/>
      <c r="I15" s="137"/>
      <c r="J15" s="16"/>
      <c r="K15" s="16"/>
      <c r="L15" s="16"/>
      <c r="M15" s="135"/>
    </row>
    <row r="16" spans="1:13" ht="15" thickBot="1" x14ac:dyDescent="0.2">
      <c r="A16" s="187"/>
      <c r="B16" s="52"/>
      <c r="C16" s="54"/>
      <c r="D16" s="72"/>
      <c r="E16" s="47"/>
      <c r="F16" s="104"/>
      <c r="G16" s="36"/>
      <c r="H16" s="127"/>
      <c r="I16" s="14"/>
      <c r="J16" s="14"/>
      <c r="K16" s="14"/>
      <c r="L16" s="14"/>
      <c r="M16" s="136"/>
    </row>
    <row r="17" spans="1:19" ht="15" thickTop="1" x14ac:dyDescent="0.15">
      <c r="B17" s="11"/>
      <c r="C17" s="11"/>
      <c r="F17" s="15"/>
      <c r="H17" s="122"/>
      <c r="M17" s="11"/>
    </row>
    <row r="18" spans="1:19" x14ac:dyDescent="0.15">
      <c r="A18" s="216" t="s">
        <v>51</v>
      </c>
      <c r="B18" s="107"/>
      <c r="C18" s="107"/>
      <c r="E18" s="107"/>
      <c r="F18" s="115"/>
      <c r="G18" s="107"/>
      <c r="H18" s="121" t="s">
        <v>26</v>
      </c>
      <c r="I18" s="4"/>
      <c r="J18" s="4"/>
      <c r="K18" s="4"/>
      <c r="L18" s="4"/>
    </row>
    <row r="19" spans="1:19" ht="15" thickBot="1" x14ac:dyDescent="0.2">
      <c r="B19" s="109"/>
      <c r="C19" s="110"/>
      <c r="D19" s="110"/>
      <c r="E19" s="111"/>
      <c r="F19" s="116"/>
      <c r="G19" s="113"/>
      <c r="H19" s="130"/>
      <c r="I19" s="140"/>
      <c r="J19" s="140"/>
      <c r="K19" s="140"/>
      <c r="L19" s="140"/>
      <c r="M19" s="140"/>
    </row>
    <row r="20" spans="1:19" ht="15" thickTop="1" x14ac:dyDescent="0.15">
      <c r="A20" s="150" t="s">
        <v>50</v>
      </c>
      <c r="B20" s="108" t="s">
        <v>3</v>
      </c>
      <c r="C20" s="105">
        <v>8.5</v>
      </c>
      <c r="D20" s="105">
        <v>8.1</v>
      </c>
      <c r="E20" s="53">
        <f t="shared" ref="E20:E21" si="0">C20*D20*D20*0.52</f>
        <v>289.99619999999999</v>
      </c>
      <c r="F20" s="117">
        <v>27.7</v>
      </c>
      <c r="G20" s="112">
        <f t="shared" ref="G20:G22" si="1">(E20/1000)/(F20-(E20/1000))</f>
        <v>1.057994016038772E-2</v>
      </c>
      <c r="H20" s="120" t="s">
        <v>52</v>
      </c>
      <c r="I20" s="18">
        <v>0</v>
      </c>
      <c r="J20" s="18">
        <v>0</v>
      </c>
      <c r="K20" s="18">
        <v>0</v>
      </c>
      <c r="L20" s="18">
        <v>0</v>
      </c>
      <c r="M20" s="138" t="s">
        <v>19</v>
      </c>
      <c r="S20" s="5" t="s">
        <v>22</v>
      </c>
    </row>
    <row r="21" spans="1:19" x14ac:dyDescent="0.15">
      <c r="A21" s="147"/>
      <c r="B21" s="49" t="s">
        <v>6</v>
      </c>
      <c r="C21" s="105"/>
      <c r="D21" s="106"/>
      <c r="E21" s="53">
        <f t="shared" si="0"/>
        <v>0</v>
      </c>
      <c r="F21" s="69">
        <v>28.1</v>
      </c>
      <c r="G21" s="46">
        <f t="shared" si="1"/>
        <v>0</v>
      </c>
      <c r="H21" s="128"/>
      <c r="I21" s="16">
        <v>0</v>
      </c>
      <c r="J21" s="16">
        <v>0</v>
      </c>
      <c r="K21" s="16">
        <v>0</v>
      </c>
      <c r="L21" s="16">
        <v>0</v>
      </c>
      <c r="M21" s="139" t="s">
        <v>19</v>
      </c>
    </row>
    <row r="22" spans="1:19" ht="15" thickBot="1" x14ac:dyDescent="0.2">
      <c r="A22" s="146" t="s">
        <v>32</v>
      </c>
      <c r="B22" s="50" t="s">
        <v>7</v>
      </c>
      <c r="C22" s="54">
        <v>4.8</v>
      </c>
      <c r="D22" s="54">
        <v>4.4000000000000004</v>
      </c>
      <c r="E22" s="65">
        <f>C22*D22*D22*0.52</f>
        <v>48.32256000000001</v>
      </c>
      <c r="F22" s="71">
        <v>28.2</v>
      </c>
      <c r="G22" s="103">
        <f t="shared" si="1"/>
        <v>1.7165073059319624E-3</v>
      </c>
      <c r="H22" s="174" t="s">
        <v>46</v>
      </c>
      <c r="I22" s="14">
        <v>0</v>
      </c>
      <c r="J22" s="14">
        <v>0</v>
      </c>
      <c r="K22" s="14">
        <v>0</v>
      </c>
      <c r="L22" s="14">
        <v>0</v>
      </c>
      <c r="M22" s="136" t="s">
        <v>19</v>
      </c>
    </row>
    <row r="23" spans="1:19" ht="15" thickTop="1" x14ac:dyDescent="0.15">
      <c r="A23" s="150" t="s">
        <v>28</v>
      </c>
      <c r="B23" s="108" t="s">
        <v>3</v>
      </c>
      <c r="C23" s="105">
        <v>5.2</v>
      </c>
      <c r="D23" s="105">
        <v>5.2</v>
      </c>
      <c r="E23" s="53">
        <f t="shared" ref="E23:E36" si="2">C23*D23*D23*0.52</f>
        <v>73.116160000000022</v>
      </c>
      <c r="F23" s="117">
        <v>23.8</v>
      </c>
      <c r="G23" s="112">
        <f t="shared" ref="G23:G28" si="3">(E23/1000)/(F23-(E23/1000))</f>
        <v>3.0815744913260394E-3</v>
      </c>
      <c r="H23" s="120" t="s">
        <v>53</v>
      </c>
      <c r="I23" s="18">
        <v>0</v>
      </c>
      <c r="J23" s="18">
        <v>0</v>
      </c>
      <c r="K23" s="18">
        <v>0</v>
      </c>
      <c r="L23" s="18">
        <v>0</v>
      </c>
      <c r="M23" s="138" t="s">
        <v>19</v>
      </c>
    </row>
    <row r="24" spans="1:19" x14ac:dyDescent="0.15">
      <c r="A24" s="147"/>
      <c r="B24" s="49" t="s">
        <v>6</v>
      </c>
      <c r="C24" s="105">
        <v>12.5</v>
      </c>
      <c r="D24" s="106">
        <v>10.7</v>
      </c>
      <c r="E24" s="156">
        <f t="shared" si="2"/>
        <v>744.18500000000006</v>
      </c>
      <c r="F24" s="69">
        <v>25.1</v>
      </c>
      <c r="G24" s="46">
        <f t="shared" si="3"/>
        <v>3.0554715578189444E-2</v>
      </c>
      <c r="H24" s="128" t="s">
        <v>35</v>
      </c>
      <c r="I24" s="16">
        <v>0</v>
      </c>
      <c r="J24" s="16">
        <v>0</v>
      </c>
      <c r="K24" s="16">
        <v>0</v>
      </c>
      <c r="L24" s="16">
        <v>0</v>
      </c>
      <c r="M24" s="139" t="s">
        <v>19</v>
      </c>
    </row>
    <row r="25" spans="1:19" ht="15" thickBot="1" x14ac:dyDescent="0.2">
      <c r="A25" s="151" t="s">
        <v>33</v>
      </c>
      <c r="B25" s="50" t="s">
        <v>7</v>
      </c>
      <c r="C25" s="54">
        <v>10.5</v>
      </c>
      <c r="D25" s="54">
        <v>9.1999999999999993</v>
      </c>
      <c r="E25" s="169">
        <f t="shared" si="2"/>
        <v>462.13439999999997</v>
      </c>
      <c r="F25" s="71">
        <v>25.9</v>
      </c>
      <c r="G25" s="103">
        <f t="shared" si="3"/>
        <v>1.8167184592719918E-2</v>
      </c>
      <c r="H25" s="129" t="s">
        <v>49</v>
      </c>
      <c r="I25" s="14">
        <v>0</v>
      </c>
      <c r="J25" s="14">
        <v>0</v>
      </c>
      <c r="K25" s="14">
        <v>0</v>
      </c>
      <c r="L25" s="14">
        <v>0</v>
      </c>
      <c r="M25" s="136" t="s">
        <v>19</v>
      </c>
    </row>
    <row r="26" spans="1:19" ht="15" thickTop="1" x14ac:dyDescent="0.15">
      <c r="A26" s="150" t="s">
        <v>29</v>
      </c>
      <c r="B26" s="108" t="s">
        <v>3</v>
      </c>
      <c r="C26" s="105">
        <v>7.8</v>
      </c>
      <c r="D26" s="105">
        <v>7.2</v>
      </c>
      <c r="E26" s="53">
        <f t="shared" si="2"/>
        <v>210.26303999999999</v>
      </c>
      <c r="F26" s="117">
        <v>24.7</v>
      </c>
      <c r="G26" s="112">
        <f t="shared" si="3"/>
        <v>8.5857614699345469E-3</v>
      </c>
      <c r="H26" s="120" t="s">
        <v>54</v>
      </c>
      <c r="I26" s="18">
        <v>0</v>
      </c>
      <c r="J26" s="18">
        <v>0</v>
      </c>
      <c r="K26" s="18">
        <v>0</v>
      </c>
      <c r="L26" s="18">
        <v>0</v>
      </c>
      <c r="M26" s="138" t="s">
        <v>19</v>
      </c>
    </row>
    <row r="27" spans="1:19" x14ac:dyDescent="0.15">
      <c r="A27" s="147"/>
      <c r="B27" s="49" t="s">
        <v>6</v>
      </c>
      <c r="C27" s="105">
        <v>6.2</v>
      </c>
      <c r="D27" s="106">
        <v>5.4</v>
      </c>
      <c r="E27" s="53">
        <f t="shared" si="2"/>
        <v>94.011840000000021</v>
      </c>
      <c r="F27" s="69">
        <v>25.7</v>
      </c>
      <c r="G27" s="46">
        <f t="shared" si="3"/>
        <v>3.671478695239701E-3</v>
      </c>
      <c r="H27" s="128" t="s">
        <v>43</v>
      </c>
      <c r="I27" s="16">
        <v>0</v>
      </c>
      <c r="J27" s="16">
        <v>0</v>
      </c>
      <c r="K27" s="16">
        <v>0</v>
      </c>
      <c r="L27" s="16">
        <v>0</v>
      </c>
      <c r="M27" s="139" t="s">
        <v>19</v>
      </c>
    </row>
    <row r="28" spans="1:19" ht="15" thickBot="1" x14ac:dyDescent="0.2">
      <c r="A28" s="151" t="s">
        <v>33</v>
      </c>
      <c r="B28" s="50" t="s">
        <v>7</v>
      </c>
      <c r="C28" s="54">
        <v>10.1</v>
      </c>
      <c r="D28" s="54">
        <v>9.6</v>
      </c>
      <c r="E28" s="169">
        <f t="shared" si="2"/>
        <v>484.02431999999999</v>
      </c>
      <c r="F28" s="71">
        <v>29.2</v>
      </c>
      <c r="G28" s="103">
        <f t="shared" si="3"/>
        <v>1.6855576331230547E-2</v>
      </c>
      <c r="H28" s="129" t="s">
        <v>40</v>
      </c>
      <c r="I28" s="14">
        <v>0</v>
      </c>
      <c r="J28" s="14">
        <v>0</v>
      </c>
      <c r="K28" s="14">
        <v>0</v>
      </c>
      <c r="L28" s="14">
        <v>0</v>
      </c>
      <c r="M28" s="136" t="s">
        <v>19</v>
      </c>
    </row>
    <row r="29" spans="1:19" ht="15" thickTop="1" x14ac:dyDescent="0.15">
      <c r="A29" s="150" t="s">
        <v>30</v>
      </c>
      <c r="B29" s="108" t="s">
        <v>3</v>
      </c>
      <c r="C29" s="105">
        <v>8.1999999999999993</v>
      </c>
      <c r="D29" s="105">
        <v>7.4</v>
      </c>
      <c r="E29" s="53">
        <f t="shared" si="2"/>
        <v>233.49664000000004</v>
      </c>
      <c r="F29" s="117">
        <v>24.5</v>
      </c>
      <c r="G29" s="112">
        <f t="shared" ref="G29:G34" si="4">(E29/1000)/(F29-(E29/1000))</f>
        <v>9.6221790398070776E-3</v>
      </c>
      <c r="H29" s="120" t="s">
        <v>55</v>
      </c>
      <c r="I29" s="18">
        <v>0</v>
      </c>
      <c r="J29" s="18">
        <v>0</v>
      </c>
      <c r="K29" s="18">
        <v>0</v>
      </c>
      <c r="L29" s="18">
        <v>0</v>
      </c>
      <c r="M29" s="138" t="s">
        <v>19</v>
      </c>
    </row>
    <row r="30" spans="1:19" x14ac:dyDescent="0.15">
      <c r="A30" s="147"/>
      <c r="B30" s="49" t="s">
        <v>6</v>
      </c>
      <c r="C30" s="105">
        <v>10.4</v>
      </c>
      <c r="D30" s="106">
        <v>8.1999999999999993</v>
      </c>
      <c r="E30" s="156">
        <f t="shared" si="2"/>
        <v>363.63391999999999</v>
      </c>
      <c r="F30" s="69">
        <v>26.5</v>
      </c>
      <c r="G30" s="46">
        <f t="shared" si="4"/>
        <v>1.3912948681808486E-2</v>
      </c>
      <c r="H30" s="128" t="s">
        <v>39</v>
      </c>
      <c r="I30" s="16">
        <v>0</v>
      </c>
      <c r="J30" s="16">
        <v>0</v>
      </c>
      <c r="K30" s="16">
        <v>0</v>
      </c>
      <c r="L30" s="16">
        <v>0</v>
      </c>
      <c r="M30" s="139" t="s">
        <v>19</v>
      </c>
    </row>
    <row r="31" spans="1:19" ht="15" thickBot="1" x14ac:dyDescent="0.2">
      <c r="A31" s="151" t="s">
        <v>33</v>
      </c>
      <c r="B31" s="50" t="s">
        <v>7</v>
      </c>
      <c r="C31" s="54">
        <v>4.3</v>
      </c>
      <c r="D31" s="54">
        <v>4.3</v>
      </c>
      <c r="E31" s="65">
        <f t="shared" si="2"/>
        <v>41.343639999999994</v>
      </c>
      <c r="F31" s="71">
        <v>22.6</v>
      </c>
      <c r="G31" s="103">
        <f t="shared" si="4"/>
        <v>1.8327173099417697E-3</v>
      </c>
      <c r="H31" s="129" t="s">
        <v>44</v>
      </c>
      <c r="I31" s="14">
        <v>0</v>
      </c>
      <c r="J31" s="14">
        <v>0</v>
      </c>
      <c r="K31" s="14">
        <v>0</v>
      </c>
      <c r="L31" s="14">
        <v>0</v>
      </c>
      <c r="M31" s="136" t="s">
        <v>19</v>
      </c>
    </row>
    <row r="32" spans="1:19" ht="15" thickTop="1" x14ac:dyDescent="0.15">
      <c r="A32" s="150" t="s">
        <v>31</v>
      </c>
      <c r="B32" s="108" t="s">
        <v>3</v>
      </c>
      <c r="C32" s="105">
        <v>5.6</v>
      </c>
      <c r="D32" s="105">
        <v>5.5</v>
      </c>
      <c r="E32" s="53">
        <f t="shared" si="2"/>
        <v>88.087999999999994</v>
      </c>
      <c r="F32" s="117">
        <v>24.7</v>
      </c>
      <c r="G32" s="112">
        <f t="shared" si="4"/>
        <v>3.5790799186995303E-3</v>
      </c>
      <c r="H32" s="120" t="s">
        <v>56</v>
      </c>
      <c r="I32" s="18">
        <v>0</v>
      </c>
      <c r="J32" s="18">
        <v>0</v>
      </c>
      <c r="K32" s="18">
        <v>0</v>
      </c>
      <c r="L32" s="18">
        <v>0</v>
      </c>
      <c r="M32" s="138" t="s">
        <v>19</v>
      </c>
    </row>
    <row r="33" spans="1:13" x14ac:dyDescent="0.15">
      <c r="A33" s="147"/>
      <c r="B33" s="49" t="s">
        <v>6</v>
      </c>
      <c r="C33" s="105">
        <v>6.2</v>
      </c>
      <c r="D33" s="106">
        <v>6</v>
      </c>
      <c r="E33" s="53">
        <f t="shared" si="2"/>
        <v>116.06400000000001</v>
      </c>
      <c r="F33" s="69">
        <v>31.9</v>
      </c>
      <c r="G33" s="46">
        <f t="shared" si="4"/>
        <v>3.6516559811849611E-3</v>
      </c>
      <c r="H33" s="154" t="s">
        <v>45</v>
      </c>
      <c r="I33" s="16">
        <v>0</v>
      </c>
      <c r="J33" s="16">
        <v>0</v>
      </c>
      <c r="K33" s="16">
        <v>0</v>
      </c>
      <c r="L33" s="16">
        <v>0</v>
      </c>
      <c r="M33" s="139" t="s">
        <v>19</v>
      </c>
    </row>
    <row r="34" spans="1:13" ht="15" thickBot="1" x14ac:dyDescent="0.2">
      <c r="A34" s="151" t="s">
        <v>33</v>
      </c>
      <c r="B34" s="50" t="s">
        <v>7</v>
      </c>
      <c r="C34" s="54">
        <v>10.9</v>
      </c>
      <c r="D34" s="54">
        <v>9.5</v>
      </c>
      <c r="E34" s="169">
        <f t="shared" si="2"/>
        <v>511.53700000000003</v>
      </c>
      <c r="F34" s="71">
        <v>26.4</v>
      </c>
      <c r="G34" s="103">
        <f t="shared" si="4"/>
        <v>1.9759264966792353E-2</v>
      </c>
      <c r="H34" s="129" t="s">
        <v>42</v>
      </c>
      <c r="I34" s="14">
        <v>0</v>
      </c>
      <c r="J34" s="14">
        <v>0</v>
      </c>
      <c r="K34" s="14">
        <v>0</v>
      </c>
      <c r="L34" s="14">
        <v>0</v>
      </c>
      <c r="M34" s="136" t="s">
        <v>19</v>
      </c>
    </row>
    <row r="35" spans="1:13" ht="15" thickTop="1" x14ac:dyDescent="0.15">
      <c r="A35" s="153">
        <v>260504</v>
      </c>
      <c r="B35" s="108" t="s">
        <v>3</v>
      </c>
      <c r="C35" s="105">
        <v>5.6</v>
      </c>
      <c r="D35" s="105">
        <v>5.6</v>
      </c>
      <c r="E35" s="53">
        <f t="shared" si="2"/>
        <v>91.320319999999981</v>
      </c>
      <c r="F35" s="117">
        <v>22.6</v>
      </c>
      <c r="G35" s="112">
        <f t="shared" ref="G35:G36" si="5">(E35/1000)/(F35-(E35/1000))</f>
        <v>4.0571158014720112E-3</v>
      </c>
      <c r="H35" s="120" t="s">
        <v>57</v>
      </c>
      <c r="I35" s="18">
        <v>0</v>
      </c>
      <c r="J35" s="18">
        <v>0</v>
      </c>
      <c r="K35" s="18">
        <v>0</v>
      </c>
      <c r="L35" s="18">
        <v>0</v>
      </c>
      <c r="M35" s="138" t="s">
        <v>19</v>
      </c>
    </row>
    <row r="36" spans="1:13" x14ac:dyDescent="0.15">
      <c r="A36" s="147"/>
      <c r="B36" s="49" t="s">
        <v>6</v>
      </c>
      <c r="C36" s="105">
        <v>7.4</v>
      </c>
      <c r="D36" s="106">
        <v>7.2</v>
      </c>
      <c r="E36" s="53">
        <f t="shared" si="2"/>
        <v>199.48032000000003</v>
      </c>
      <c r="F36" s="69">
        <v>25</v>
      </c>
      <c r="G36" s="46">
        <f t="shared" si="5"/>
        <v>8.0433927423249878E-3</v>
      </c>
      <c r="H36" s="128" t="s">
        <v>41</v>
      </c>
      <c r="I36" s="16">
        <v>0</v>
      </c>
      <c r="J36" s="16">
        <v>0</v>
      </c>
      <c r="K36" s="16">
        <v>0</v>
      </c>
      <c r="L36" s="16">
        <v>0</v>
      </c>
      <c r="M36" s="139" t="s">
        <v>19</v>
      </c>
    </row>
    <row r="37" spans="1:13" ht="15" thickBot="1" x14ac:dyDescent="0.2">
      <c r="A37" s="152" t="s">
        <v>34</v>
      </c>
      <c r="B37" s="50"/>
      <c r="C37" s="65"/>
      <c r="D37" s="65"/>
      <c r="E37" s="65"/>
      <c r="F37" s="170"/>
      <c r="G37" s="171"/>
      <c r="H37" s="172"/>
      <c r="I37" s="50"/>
      <c r="J37" s="50"/>
      <c r="K37" s="50"/>
      <c r="L37" s="50"/>
      <c r="M37" s="173"/>
    </row>
    <row r="38" spans="1:13" ht="15" thickTop="1" x14ac:dyDescent="0.15"/>
  </sheetData>
  <mergeCells count="16">
    <mergeCell ref="A14:A16"/>
    <mergeCell ref="A8:A10"/>
    <mergeCell ref="A11:A13"/>
    <mergeCell ref="E3:E4"/>
    <mergeCell ref="A5:A6"/>
    <mergeCell ref="C3:D3"/>
    <mergeCell ref="A3:B4"/>
    <mergeCell ref="F1:M1"/>
    <mergeCell ref="I3:I4"/>
    <mergeCell ref="J3:J4"/>
    <mergeCell ref="K3:K4"/>
    <mergeCell ref="L3:L4"/>
    <mergeCell ref="M3:M4"/>
    <mergeCell ref="F3:F4"/>
    <mergeCell ref="G3:G4"/>
    <mergeCell ref="H3:H4"/>
  </mergeCells>
  <pageMargins left="0.25" right="0.25" top="0.75" bottom="0.75" header="0.3" footer="0.3"/>
  <pageSetup scale="8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4:M30"/>
  <sheetViews>
    <sheetView tabSelected="1" workbookViewId="0">
      <selection activeCell="G41" sqref="G41"/>
    </sheetView>
  </sheetViews>
  <sheetFormatPr baseColWidth="10" defaultColWidth="8.83203125" defaultRowHeight="15" x14ac:dyDescent="0.2"/>
  <cols>
    <col min="1" max="1" width="14.6640625" customWidth="1"/>
    <col min="2" max="2" width="2.5" customWidth="1"/>
    <col min="3" max="3" width="10.6640625" customWidth="1"/>
    <col min="4" max="4" width="10.5" customWidth="1"/>
    <col min="5" max="5" width="10.83203125" customWidth="1"/>
    <col min="8" max="8" width="39.5" customWidth="1"/>
    <col min="9" max="9" width="6.5" customWidth="1"/>
    <col min="10" max="10" width="5.1640625" customWidth="1"/>
    <col min="11" max="11" width="4.5" customWidth="1"/>
    <col min="12" max="12" width="5.6640625" customWidth="1"/>
    <col min="13" max="13" width="12" customWidth="1"/>
  </cols>
  <sheetData>
    <row r="4" spans="1:13" ht="18" x14ac:dyDescent="0.2">
      <c r="A4" s="6" t="s">
        <v>10</v>
      </c>
    </row>
    <row r="5" spans="1:13" x14ac:dyDescent="0.2">
      <c r="A5" s="82">
        <v>46195</v>
      </c>
      <c r="B5" s="9"/>
      <c r="C5" s="1"/>
      <c r="D5" s="1"/>
      <c r="E5" s="2"/>
      <c r="F5" s="1"/>
      <c r="G5" s="3"/>
      <c r="H5" s="4"/>
      <c r="I5" s="5"/>
      <c r="J5" s="5"/>
      <c r="K5" s="5"/>
      <c r="L5" s="5"/>
      <c r="M5" s="5"/>
    </row>
    <row r="6" spans="1:13" ht="17" thickBot="1" x14ac:dyDescent="0.25">
      <c r="A6" s="13"/>
      <c r="B6" s="9"/>
      <c r="C6" s="1"/>
      <c r="D6" s="1"/>
      <c r="E6" s="2"/>
      <c r="F6" s="1"/>
      <c r="G6" s="3"/>
      <c r="H6" s="4"/>
      <c r="I6" s="5"/>
      <c r="J6" s="5"/>
      <c r="K6" s="5"/>
      <c r="L6" s="5"/>
      <c r="M6" s="5"/>
    </row>
    <row r="7" spans="1:13" x14ac:dyDescent="0.2">
      <c r="A7" s="213" t="s">
        <v>2</v>
      </c>
      <c r="B7" s="204"/>
      <c r="C7" s="204" t="s">
        <v>0</v>
      </c>
      <c r="D7" s="204"/>
      <c r="E7" s="207" t="s">
        <v>20</v>
      </c>
      <c r="F7" s="207" t="s">
        <v>8</v>
      </c>
      <c r="G7" s="209" t="s">
        <v>9</v>
      </c>
      <c r="H7" s="211" t="s">
        <v>1</v>
      </c>
      <c r="I7" s="204" t="s">
        <v>16</v>
      </c>
      <c r="J7" s="204"/>
      <c r="K7" s="204"/>
      <c r="L7" s="204"/>
      <c r="M7" s="205" t="s">
        <v>11</v>
      </c>
    </row>
    <row r="8" spans="1:13" ht="16" thickBot="1" x14ac:dyDescent="0.25">
      <c r="A8" s="214"/>
      <c r="B8" s="215"/>
      <c r="C8" s="81" t="s">
        <v>5</v>
      </c>
      <c r="D8" s="81" t="s">
        <v>4</v>
      </c>
      <c r="E8" s="208"/>
      <c r="F8" s="208"/>
      <c r="G8" s="210"/>
      <c r="H8" s="212"/>
      <c r="I8" s="23" t="s">
        <v>12</v>
      </c>
      <c r="J8" s="23" t="s">
        <v>13</v>
      </c>
      <c r="K8" s="23" t="s">
        <v>15</v>
      </c>
      <c r="L8" s="23" t="s">
        <v>14</v>
      </c>
      <c r="M8" s="206"/>
    </row>
    <row r="9" spans="1:13" ht="17" thickTop="1" thickBot="1" x14ac:dyDescent="0.25">
      <c r="A9" s="55"/>
      <c r="B9" s="56"/>
      <c r="C9" s="56"/>
      <c r="D9" s="56"/>
      <c r="E9" s="95"/>
      <c r="F9" s="66"/>
      <c r="G9" s="57"/>
      <c r="H9" s="38"/>
      <c r="I9" s="78"/>
      <c r="J9" s="79"/>
      <c r="K9" s="79"/>
      <c r="L9" s="38"/>
      <c r="M9" s="168"/>
    </row>
    <row r="10" spans="1:13" ht="16" thickTop="1" x14ac:dyDescent="0.2">
      <c r="A10" s="201" t="s">
        <v>23</v>
      </c>
      <c r="B10" s="93"/>
      <c r="C10" s="85"/>
      <c r="D10" s="89"/>
      <c r="E10" s="86"/>
      <c r="F10" s="145"/>
      <c r="G10" s="94"/>
      <c r="H10" s="114"/>
      <c r="I10" s="73"/>
      <c r="J10" s="73"/>
      <c r="K10" s="73"/>
      <c r="L10" s="73"/>
      <c r="M10" s="83"/>
    </row>
    <row r="11" spans="1:13" x14ac:dyDescent="0.2">
      <c r="A11" s="202"/>
      <c r="B11" s="91" t="s">
        <v>7</v>
      </c>
      <c r="C11" s="19">
        <v>7.3</v>
      </c>
      <c r="D11" s="19">
        <v>7.1</v>
      </c>
      <c r="E11" s="19">
        <f>C11*D11*D11*0.52</f>
        <v>191.35636</v>
      </c>
      <c r="F11" s="143">
        <v>30.6</v>
      </c>
      <c r="G11" s="98">
        <f>(E11/1000)/(F11-(E11/1000))</f>
        <v>6.2928278638606193E-3</v>
      </c>
      <c r="H11" s="102" t="s">
        <v>58</v>
      </c>
      <c r="I11" s="74">
        <v>0</v>
      </c>
      <c r="J11" s="74">
        <v>0</v>
      </c>
      <c r="K11" s="74">
        <v>0</v>
      </c>
      <c r="L11" s="74">
        <v>0</v>
      </c>
      <c r="M11" s="84" t="s">
        <v>19</v>
      </c>
    </row>
    <row r="12" spans="1:13" ht="16" thickBot="1" x14ac:dyDescent="0.25">
      <c r="A12" s="203"/>
      <c r="B12" s="92"/>
      <c r="C12" s="87"/>
      <c r="D12" s="21"/>
      <c r="E12" s="21"/>
      <c r="F12" s="144"/>
      <c r="G12" s="99"/>
      <c r="H12" s="80"/>
      <c r="I12" s="12"/>
      <c r="J12" s="12"/>
      <c r="K12" s="12"/>
      <c r="L12" s="12"/>
      <c r="M12" s="96"/>
    </row>
    <row r="13" spans="1:13" ht="16" thickTop="1" x14ac:dyDescent="0.2">
      <c r="A13" s="201" t="s">
        <v>24</v>
      </c>
      <c r="B13" s="93"/>
      <c r="C13" s="89"/>
      <c r="D13" s="89"/>
      <c r="E13" s="86"/>
      <c r="F13" s="145"/>
      <c r="G13" s="94"/>
      <c r="H13" s="114"/>
      <c r="I13" s="73"/>
      <c r="J13" s="73"/>
      <c r="K13" s="73"/>
      <c r="L13" s="73"/>
      <c r="M13" s="83"/>
    </row>
    <row r="14" spans="1:13" x14ac:dyDescent="0.2">
      <c r="A14" s="202"/>
      <c r="B14" s="90" t="s">
        <v>6</v>
      </c>
      <c r="C14" s="53">
        <v>9.1</v>
      </c>
      <c r="D14" s="53">
        <v>8.6</v>
      </c>
      <c r="E14" s="53">
        <f>C14*D14*D14*0.52</f>
        <v>349.97872000000001</v>
      </c>
      <c r="F14" s="142">
        <v>25.6</v>
      </c>
      <c r="G14" s="97">
        <f>(E14/1000)/(F14-(E14/1000))</f>
        <v>1.3860531685064782E-2</v>
      </c>
      <c r="H14" s="101" t="s">
        <v>59</v>
      </c>
      <c r="I14" s="77">
        <v>0</v>
      </c>
      <c r="J14" s="77">
        <v>0</v>
      </c>
      <c r="K14" s="77">
        <v>0</v>
      </c>
      <c r="L14" s="77">
        <v>0</v>
      </c>
      <c r="M14" s="84" t="s">
        <v>19</v>
      </c>
    </row>
    <row r="15" spans="1:13" x14ac:dyDescent="0.2">
      <c r="A15" s="202"/>
      <c r="B15" s="91" t="s">
        <v>7</v>
      </c>
      <c r="C15" s="19"/>
      <c r="D15" s="19"/>
      <c r="E15" s="19">
        <f>C15*D15*D15*0.52</f>
        <v>0</v>
      </c>
      <c r="F15" s="143">
        <v>25.5</v>
      </c>
      <c r="G15" s="98">
        <f>(E15/1000)/(F15-(E15/1000))</f>
        <v>0</v>
      </c>
      <c r="H15" s="102"/>
      <c r="I15" s="74">
        <v>0</v>
      </c>
      <c r="J15" s="74">
        <v>0</v>
      </c>
      <c r="K15" s="74">
        <v>0</v>
      </c>
      <c r="L15" s="74">
        <v>0</v>
      </c>
      <c r="M15" s="84" t="s">
        <v>19</v>
      </c>
    </row>
    <row r="16" spans="1:13" ht="16" thickBot="1" x14ac:dyDescent="0.25">
      <c r="A16" s="203"/>
      <c r="B16" s="92"/>
      <c r="C16" s="87"/>
      <c r="D16" s="21"/>
      <c r="E16" s="21"/>
      <c r="F16" s="118"/>
      <c r="G16" s="99"/>
      <c r="H16" s="80"/>
      <c r="I16" s="12"/>
      <c r="J16" s="12"/>
      <c r="K16" s="12"/>
      <c r="L16" s="12"/>
      <c r="M16" s="96"/>
    </row>
    <row r="17" spans="1:13" ht="16" thickTop="1" x14ac:dyDescent="0.2">
      <c r="A17" s="201" t="s">
        <v>27</v>
      </c>
      <c r="B17" s="93" t="s">
        <v>3</v>
      </c>
      <c r="C17" s="85">
        <v>5.2</v>
      </c>
      <c r="D17" s="89">
        <v>4.9000000000000004</v>
      </c>
      <c r="E17" s="86">
        <f>C17*D17*D17*0.52</f>
        <v>64.923040000000015</v>
      </c>
      <c r="F17" s="145">
        <v>27.4</v>
      </c>
      <c r="G17" s="94">
        <f>(E17/1000)/(F17-(E17/1000))</f>
        <v>2.3750816613760878E-3</v>
      </c>
      <c r="H17" s="114" t="s">
        <v>60</v>
      </c>
      <c r="I17" s="73">
        <v>0</v>
      </c>
      <c r="J17" s="73">
        <v>0</v>
      </c>
      <c r="K17" s="73">
        <v>0</v>
      </c>
      <c r="L17" s="73">
        <v>0</v>
      </c>
      <c r="M17" s="83" t="s">
        <v>19</v>
      </c>
    </row>
    <row r="18" spans="1:13" x14ac:dyDescent="0.2">
      <c r="A18" s="202"/>
      <c r="B18" s="90"/>
      <c r="C18" s="62"/>
      <c r="D18" s="62"/>
      <c r="E18" s="62"/>
      <c r="F18" s="163"/>
      <c r="G18" s="164"/>
      <c r="H18" s="165"/>
      <c r="I18" s="166"/>
      <c r="J18" s="166"/>
      <c r="K18" s="166"/>
      <c r="L18" s="166"/>
      <c r="M18" s="20"/>
    </row>
    <row r="19" spans="1:13" x14ac:dyDescent="0.2">
      <c r="A19" s="202"/>
      <c r="B19" s="91" t="s">
        <v>7</v>
      </c>
      <c r="C19" s="19">
        <v>8.6</v>
      </c>
      <c r="D19" s="19">
        <v>8</v>
      </c>
      <c r="E19" s="19">
        <f>C19*D19*D19*0.52</f>
        <v>286.20799999999997</v>
      </c>
      <c r="F19" s="143">
        <v>26</v>
      </c>
      <c r="G19" s="98">
        <f>(E19/1000)/(F19-(E19/1000))</f>
        <v>1.11305248171876E-2</v>
      </c>
      <c r="H19" s="102" t="s">
        <v>47</v>
      </c>
      <c r="I19" s="74">
        <v>0</v>
      </c>
      <c r="J19" s="74">
        <v>0</v>
      </c>
      <c r="K19" s="74">
        <v>0</v>
      </c>
      <c r="L19" s="74">
        <v>0</v>
      </c>
      <c r="M19" s="84" t="s">
        <v>19</v>
      </c>
    </row>
    <row r="20" spans="1:13" ht="16" thickBot="1" x14ac:dyDescent="0.25">
      <c r="A20" s="203"/>
      <c r="B20" s="92" t="s">
        <v>25</v>
      </c>
      <c r="C20" s="21">
        <v>5.6</v>
      </c>
      <c r="D20" s="21">
        <v>5.6</v>
      </c>
      <c r="E20" s="21">
        <f>C20*D20*D20*0.52</f>
        <v>91.320319999999981</v>
      </c>
      <c r="F20" s="88">
        <v>26.3</v>
      </c>
      <c r="G20" s="99">
        <f>(E20/1000)/(F20-(E20/1000))</f>
        <v>3.4843540809759701E-3</v>
      </c>
      <c r="H20" s="148" t="s">
        <v>48</v>
      </c>
      <c r="I20" s="12">
        <v>0</v>
      </c>
      <c r="J20" s="12">
        <v>0</v>
      </c>
      <c r="K20" s="12">
        <v>0</v>
      </c>
      <c r="L20" s="12">
        <v>0</v>
      </c>
      <c r="M20" s="96" t="s">
        <v>19</v>
      </c>
    </row>
    <row r="21" spans="1:13" ht="16" thickTop="1" x14ac:dyDescent="0.2">
      <c r="A21" s="201" t="s">
        <v>36</v>
      </c>
      <c r="B21" s="93"/>
      <c r="C21" s="85"/>
      <c r="D21" s="89"/>
      <c r="E21" s="86"/>
      <c r="F21" s="145"/>
      <c r="G21" s="94"/>
      <c r="H21" s="114" t="s">
        <v>61</v>
      </c>
      <c r="I21" s="73"/>
      <c r="J21" s="73"/>
      <c r="K21" s="73"/>
      <c r="L21" s="73"/>
      <c r="M21" s="76"/>
    </row>
    <row r="22" spans="1:13" x14ac:dyDescent="0.2">
      <c r="A22" s="202"/>
      <c r="B22" s="155" t="s">
        <v>6</v>
      </c>
      <c r="C22" s="156">
        <v>8.4</v>
      </c>
      <c r="D22" s="156">
        <v>8.3000000000000007</v>
      </c>
      <c r="E22" s="156">
        <f>C22*D22*D22*0.52</f>
        <v>300.91152000000011</v>
      </c>
      <c r="F22" s="157">
        <v>26.4</v>
      </c>
      <c r="G22" s="158">
        <f>(E22/1000)/(F22-(E22/1000))</f>
        <v>1.1529579672125014E-2</v>
      </c>
      <c r="H22" s="159" t="s">
        <v>62</v>
      </c>
      <c r="I22" s="160">
        <v>0</v>
      </c>
      <c r="J22" s="160">
        <v>0</v>
      </c>
      <c r="K22" s="160">
        <v>0</v>
      </c>
      <c r="L22" s="160">
        <v>0</v>
      </c>
      <c r="M22" s="162" t="s">
        <v>19</v>
      </c>
    </row>
    <row r="23" spans="1:13" x14ac:dyDescent="0.2">
      <c r="A23" s="202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167"/>
    </row>
    <row r="24" spans="1:13" ht="16" thickBot="1" x14ac:dyDescent="0.25">
      <c r="A24" s="203"/>
      <c r="B24" s="92"/>
      <c r="C24" s="21"/>
      <c r="D24" s="21"/>
      <c r="E24" s="21"/>
      <c r="F24" s="88"/>
      <c r="G24" s="99"/>
      <c r="H24" s="148"/>
      <c r="I24" s="12"/>
      <c r="J24" s="12"/>
      <c r="K24" s="12"/>
      <c r="L24" s="12"/>
      <c r="M24" s="22"/>
    </row>
    <row r="26" spans="1:13" x14ac:dyDescent="0.2">
      <c r="B26" s="161" t="s">
        <v>6</v>
      </c>
      <c r="C26" t="s">
        <v>37</v>
      </c>
    </row>
    <row r="28" spans="1:13" x14ac:dyDescent="0.2">
      <c r="A28" t="s">
        <v>63</v>
      </c>
      <c r="H28" s="149" t="s">
        <v>22</v>
      </c>
    </row>
    <row r="30" spans="1:13" x14ac:dyDescent="0.2">
      <c r="A30" t="s">
        <v>38</v>
      </c>
    </row>
  </sheetData>
  <mergeCells count="12">
    <mergeCell ref="A21:A24"/>
    <mergeCell ref="A17:A20"/>
    <mergeCell ref="A13:A16"/>
    <mergeCell ref="C7:D7"/>
    <mergeCell ref="M7:M8"/>
    <mergeCell ref="E7:E8"/>
    <mergeCell ref="F7:F8"/>
    <mergeCell ref="G7:G8"/>
    <mergeCell ref="H7:H8"/>
    <mergeCell ref="I7:L7"/>
    <mergeCell ref="A10:A12"/>
    <mergeCell ref="A7:B8"/>
  </mergeCells>
  <pageMargins left="0.7" right="0.7" top="0.75" bottom="0.75" header="0.3" footer="0.3"/>
  <pageSetup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A</vt:lpstr>
      <vt:lpstr>Project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2015-11-24T17:52:36Z</dcterms:created>
  <dcterms:modified xsi:type="dcterms:W3CDTF">2026-10-20T17:19:05Z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73f183dd-806e-4f15-a5f2-bcdfa3660cab</vt:lpwstr>
  </property>
</Properties>
</file>